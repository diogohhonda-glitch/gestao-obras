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Temp\Diogo\Gerador de orçamentos\"/>
    </mc:Choice>
  </mc:AlternateContent>
  <xr:revisionPtr revIDLastSave="0" documentId="13_ncr:1_{DC697ECE-F1A5-4D6B-B60C-0C9124C72052}" xr6:coauthVersionLast="47" xr6:coauthVersionMax="47" xr10:uidLastSave="{00000000-0000-0000-0000-000000000000}"/>
  <bookViews>
    <workbookView xWindow="-120" yWindow="-120" windowWidth="20730" windowHeight="11160" xr2:uid="{262203BB-102A-4A75-9D74-8A421B6345CA}"/>
  </bookViews>
  <sheets>
    <sheet name="DADOS" sheetId="2" r:id="rId1"/>
    <sheet name="IMPERMEABILIZAÇÃO" sheetId="1" r:id="rId2"/>
    <sheet name="IMPER JANELAS" sheetId="5" state="hidden" r:id="rId3"/>
  </sheets>
  <externalReferences>
    <externalReference r:id="rId4"/>
  </externalReferences>
  <definedNames>
    <definedName name="_xlnm._FilterDatabase" localSheetId="2" hidden="1">'IMPER JANELAS'!$B$4:$L$133</definedName>
    <definedName name="_xlnm._FilterDatabase" localSheetId="1" hidden="1">IMPERMEABILIZAÇÃO!$B$3:$R$62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" i="1" l="1"/>
  <c r="R24" i="1"/>
  <c r="R23" i="1"/>
  <c r="R22" i="1"/>
  <c r="R21" i="1"/>
  <c r="R20" i="1"/>
  <c r="R19" i="1"/>
  <c r="R18" i="1"/>
  <c r="R17" i="1"/>
  <c r="R16" i="1"/>
  <c r="R15" i="1"/>
  <c r="R14" i="1"/>
  <c r="R13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12" i="1"/>
  <c r="R7" i="1"/>
  <c r="R8" i="1"/>
  <c r="R9" i="1"/>
  <c r="R10" i="1"/>
  <c r="R11" i="1"/>
  <c r="R5" i="1"/>
  <c r="R6" i="1"/>
  <c r="R4" i="1"/>
  <c r="R57" i="1"/>
  <c r="R58" i="1"/>
  <c r="R59" i="1"/>
  <c r="R60" i="1"/>
  <c r="R61" i="1"/>
  <c r="R56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4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N9" i="1" l="1"/>
  <c r="N8" i="1"/>
  <c r="N7" i="1"/>
  <c r="N6" i="1"/>
  <c r="N5" i="1"/>
  <c r="N4" i="1"/>
  <c r="L9" i="1"/>
  <c r="M9" i="1" s="1"/>
  <c r="L8" i="1"/>
  <c r="M8" i="1" s="1"/>
  <c r="L7" i="1"/>
  <c r="M7" i="1" s="1"/>
  <c r="L6" i="1"/>
  <c r="M6" i="1" s="1"/>
  <c r="L5" i="1"/>
  <c r="M5" i="1" s="1"/>
  <c r="L4" i="1"/>
  <c r="M4" i="1" s="1"/>
  <c r="P8" i="1" l="1"/>
  <c r="P5" i="1"/>
  <c r="P6" i="1"/>
  <c r="P7" i="1"/>
  <c r="P9" i="1"/>
  <c r="P4" i="1"/>
  <c r="H105" i="5"/>
  <c r="I105" i="5"/>
  <c r="J105" i="5"/>
  <c r="J109" i="5"/>
  <c r="I109" i="5"/>
  <c r="J108" i="5"/>
  <c r="I108" i="5"/>
  <c r="J107" i="5"/>
  <c r="I107" i="5"/>
  <c r="J106" i="5"/>
  <c r="I106" i="5"/>
  <c r="J104" i="5"/>
  <c r="I104" i="5"/>
  <c r="J103" i="5"/>
  <c r="I103" i="5"/>
  <c r="J102" i="5"/>
  <c r="I102" i="5"/>
  <c r="J101" i="5"/>
  <c r="I101" i="5"/>
  <c r="H99" i="5"/>
  <c r="L99" i="5" s="1"/>
  <c r="J84" i="5"/>
  <c r="J83" i="5"/>
  <c r="J82" i="5"/>
  <c r="J81" i="5"/>
  <c r="J80" i="5"/>
  <c r="J79" i="5"/>
  <c r="J78" i="5"/>
  <c r="J77" i="5"/>
  <c r="I84" i="5"/>
  <c r="I83" i="5"/>
  <c r="I82" i="5"/>
  <c r="I81" i="5"/>
  <c r="I80" i="5"/>
  <c r="I79" i="5"/>
  <c r="I78" i="5"/>
  <c r="I77" i="5"/>
  <c r="E84" i="5"/>
  <c r="E83" i="5"/>
  <c r="E82" i="5"/>
  <c r="E81" i="5"/>
  <c r="E80" i="5"/>
  <c r="E79" i="5"/>
  <c r="E78" i="5"/>
  <c r="E77" i="5"/>
  <c r="H85" i="5"/>
  <c r="L85" i="5" s="1"/>
  <c r="H86" i="5"/>
  <c r="L86" i="5" s="1"/>
  <c r="H87" i="5"/>
  <c r="L87" i="5" s="1"/>
  <c r="H88" i="5"/>
  <c r="L88" i="5" s="1"/>
  <c r="H89" i="5"/>
  <c r="L89" i="5" s="1"/>
  <c r="H90" i="5"/>
  <c r="L90" i="5" s="1"/>
  <c r="H91" i="5"/>
  <c r="L91" i="5" s="1"/>
  <c r="H92" i="5"/>
  <c r="L92" i="5" s="1"/>
  <c r="L97" i="5"/>
  <c r="L96" i="5"/>
  <c r="L95" i="5"/>
  <c r="E35" i="5"/>
  <c r="E36" i="5"/>
  <c r="E37" i="5"/>
  <c r="H94" i="5"/>
  <c r="L94" i="5" s="1"/>
  <c r="H93" i="5"/>
  <c r="L93" i="5" s="1"/>
  <c r="J34" i="5"/>
  <c r="I34" i="5"/>
  <c r="H34" i="5"/>
  <c r="E34" i="5"/>
  <c r="J33" i="5"/>
  <c r="I33" i="5"/>
  <c r="H33" i="5"/>
  <c r="E33" i="5"/>
  <c r="J32" i="5"/>
  <c r="I32" i="5"/>
  <c r="H32" i="5"/>
  <c r="E32" i="5"/>
  <c r="J31" i="5"/>
  <c r="I31" i="5"/>
  <c r="H31" i="5"/>
  <c r="E31" i="5"/>
  <c r="J30" i="5"/>
  <c r="I30" i="5"/>
  <c r="H30" i="5"/>
  <c r="E30" i="5"/>
  <c r="J76" i="5"/>
  <c r="I76" i="5"/>
  <c r="J75" i="5"/>
  <c r="I75" i="5"/>
  <c r="J74" i="5"/>
  <c r="I74" i="5"/>
  <c r="J73" i="5"/>
  <c r="I73" i="5"/>
  <c r="J72" i="5"/>
  <c r="I72" i="5"/>
  <c r="J71" i="5"/>
  <c r="I71" i="5"/>
  <c r="J70" i="5"/>
  <c r="I70" i="5"/>
  <c r="J69" i="5"/>
  <c r="I69" i="5"/>
  <c r="J68" i="5"/>
  <c r="I68" i="5"/>
  <c r="J67" i="5"/>
  <c r="I67" i="5"/>
  <c r="J66" i="5"/>
  <c r="I66" i="5"/>
  <c r="J65" i="5"/>
  <c r="I65" i="5"/>
  <c r="J64" i="5"/>
  <c r="I64" i="5"/>
  <c r="J63" i="5"/>
  <c r="I63" i="5"/>
  <c r="J62" i="5"/>
  <c r="I62" i="5"/>
  <c r="J61" i="5"/>
  <c r="I61" i="5"/>
  <c r="J60" i="5"/>
  <c r="I60" i="5"/>
  <c r="J59" i="5"/>
  <c r="I59" i="5"/>
  <c r="J58" i="5"/>
  <c r="I58" i="5"/>
  <c r="J57" i="5"/>
  <c r="I57" i="5"/>
  <c r="J56" i="5"/>
  <c r="I56" i="5"/>
  <c r="J55" i="5"/>
  <c r="I55" i="5"/>
  <c r="J54" i="5"/>
  <c r="I54" i="5"/>
  <c r="J53" i="5"/>
  <c r="I53" i="5"/>
  <c r="J52" i="5"/>
  <c r="I52" i="5"/>
  <c r="J51" i="5"/>
  <c r="I51" i="5"/>
  <c r="J50" i="5"/>
  <c r="I50" i="5"/>
  <c r="J49" i="5"/>
  <c r="I49" i="5"/>
  <c r="J48" i="5"/>
  <c r="I48" i="5"/>
  <c r="J47" i="5"/>
  <c r="I47" i="5"/>
  <c r="J46" i="5"/>
  <c r="I46" i="5"/>
  <c r="J45" i="5"/>
  <c r="I45" i="5"/>
  <c r="H76" i="5"/>
  <c r="H75" i="5"/>
  <c r="H74" i="5"/>
  <c r="H73" i="5"/>
  <c r="H72" i="5"/>
  <c r="H71" i="5"/>
  <c r="H70" i="5"/>
  <c r="H69" i="5"/>
  <c r="H68" i="5"/>
  <c r="H67" i="5"/>
  <c r="H66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H28" i="5"/>
  <c r="E28" i="5"/>
  <c r="H18" i="5"/>
  <c r="H19" i="5"/>
  <c r="H20" i="5"/>
  <c r="E21" i="5"/>
  <c r="H21" i="5"/>
  <c r="E22" i="5"/>
  <c r="H22" i="5"/>
  <c r="E23" i="5"/>
  <c r="H23" i="5"/>
  <c r="E24" i="5"/>
  <c r="H24" i="5"/>
  <c r="E25" i="5"/>
  <c r="H25" i="5"/>
  <c r="E26" i="5"/>
  <c r="H26" i="5"/>
  <c r="E27" i="5"/>
  <c r="H27" i="5"/>
  <c r="E29" i="5"/>
  <c r="H29" i="5"/>
  <c r="H15" i="5"/>
  <c r="H13" i="5"/>
  <c r="H43" i="5"/>
  <c r="L43" i="5" s="1"/>
  <c r="H44" i="5"/>
  <c r="L44" i="5" s="1"/>
  <c r="H42" i="5"/>
  <c r="L42" i="5" s="1"/>
  <c r="H41" i="5"/>
  <c r="L41" i="5" s="1"/>
  <c r="H40" i="5"/>
  <c r="L40" i="5" s="1"/>
  <c r="H39" i="5"/>
  <c r="L39" i="5" s="1"/>
  <c r="P62" i="1" l="1"/>
  <c r="L30" i="5"/>
  <c r="L32" i="5"/>
  <c r="L34" i="5"/>
  <c r="L22" i="5"/>
  <c r="L74" i="5"/>
  <c r="L66" i="5"/>
  <c r="L20" i="5"/>
  <c r="L26" i="5"/>
  <c r="L18" i="5"/>
  <c r="L68" i="5"/>
  <c r="L76" i="5"/>
  <c r="L28" i="5"/>
  <c r="L13" i="5"/>
  <c r="L21" i="5"/>
  <c r="L29" i="5"/>
  <c r="L67" i="5"/>
  <c r="L71" i="5"/>
  <c r="L75" i="5"/>
  <c r="L15" i="5"/>
  <c r="L23" i="5"/>
  <c r="L25" i="5"/>
  <c r="L33" i="5"/>
  <c r="L69" i="5"/>
  <c r="L73" i="5"/>
  <c r="L24" i="5"/>
  <c r="L31" i="5"/>
  <c r="L19" i="5"/>
  <c r="L27" i="5"/>
  <c r="L72" i="5"/>
  <c r="L70" i="5"/>
  <c r="H11" i="5"/>
  <c r="L11" i="5" s="1"/>
  <c r="H10" i="5"/>
  <c r="L10" i="5" s="1"/>
  <c r="H112" i="5" l="1"/>
  <c r="H111" i="5"/>
  <c r="H110" i="5"/>
  <c r="H109" i="5"/>
  <c r="H108" i="5"/>
  <c r="H107" i="5"/>
  <c r="H106" i="5"/>
  <c r="H104" i="5"/>
  <c r="H103" i="5"/>
  <c r="H102" i="5"/>
  <c r="H101" i="5"/>
  <c r="H100" i="5"/>
  <c r="L100" i="5" s="1"/>
  <c r="H98" i="5"/>
  <c r="H84" i="5"/>
  <c r="H83" i="5"/>
  <c r="H82" i="5"/>
  <c r="H81" i="5"/>
  <c r="H80" i="5"/>
  <c r="H79" i="5"/>
  <c r="H78" i="5"/>
  <c r="H77" i="5"/>
  <c r="H65" i="5"/>
  <c r="L65" i="5" s="1"/>
  <c r="H64" i="5"/>
  <c r="L64" i="5" s="1"/>
  <c r="H63" i="5"/>
  <c r="L63" i="5" s="1"/>
  <c r="H62" i="5"/>
  <c r="L62" i="5" s="1"/>
  <c r="H61" i="5"/>
  <c r="L61" i="5" s="1"/>
  <c r="H60" i="5"/>
  <c r="L60" i="5" s="1"/>
  <c r="H59" i="5"/>
  <c r="L59" i="5" s="1"/>
  <c r="H58" i="5"/>
  <c r="L58" i="5" s="1"/>
  <c r="H57" i="5"/>
  <c r="L57" i="5" s="1"/>
  <c r="H56" i="5"/>
  <c r="L56" i="5" s="1"/>
  <c r="H55" i="5"/>
  <c r="L55" i="5" s="1"/>
  <c r="H54" i="5"/>
  <c r="L54" i="5" s="1"/>
  <c r="H53" i="5"/>
  <c r="L53" i="5" s="1"/>
  <c r="H52" i="5"/>
  <c r="L52" i="5" s="1"/>
  <c r="H51" i="5"/>
  <c r="L51" i="5" s="1"/>
  <c r="H50" i="5"/>
  <c r="L50" i="5" s="1"/>
  <c r="H49" i="5"/>
  <c r="L49" i="5" s="1"/>
  <c r="H48" i="5"/>
  <c r="L48" i="5" s="1"/>
  <c r="H47" i="5"/>
  <c r="L47" i="5" s="1"/>
  <c r="H46" i="5"/>
  <c r="L46" i="5" s="1"/>
  <c r="H45" i="5"/>
  <c r="L45" i="5" s="1"/>
  <c r="H38" i="5"/>
  <c r="L38" i="5" s="1"/>
  <c r="H37" i="5"/>
  <c r="L37" i="5" s="1"/>
  <c r="H36" i="5"/>
  <c r="L36" i="5" s="1"/>
  <c r="H35" i="5"/>
  <c r="L35" i="5" s="1"/>
  <c r="H17" i="5"/>
  <c r="L17" i="5" s="1"/>
  <c r="H16" i="5"/>
  <c r="L16" i="5" s="1"/>
  <c r="H14" i="5"/>
  <c r="L14" i="5" s="1"/>
  <c r="H12" i="5"/>
  <c r="L12" i="5" s="1"/>
  <c r="H9" i="5"/>
  <c r="L9" i="5" s="1"/>
  <c r="H8" i="5"/>
  <c r="L8" i="5" s="1"/>
  <c r="H7" i="5"/>
  <c r="L7" i="5" s="1"/>
  <c r="H6" i="5"/>
  <c r="L6" i="5" s="1"/>
  <c r="H5" i="5"/>
  <c r="L5" i="5" s="1"/>
  <c r="P119" i="1" l="1"/>
  <c r="L133" i="5"/>
  <c r="L132" i="5"/>
  <c r="L131" i="5"/>
  <c r="L130" i="5"/>
  <c r="L129" i="5"/>
  <c r="L128" i="5"/>
  <c r="L127" i="5"/>
  <c r="L126" i="5"/>
  <c r="L125" i="5"/>
  <c r="L124" i="5"/>
  <c r="L123" i="5"/>
  <c r="L122" i="5"/>
  <c r="L121" i="5"/>
  <c r="L120" i="5"/>
  <c r="L119" i="5"/>
  <c r="L118" i="5"/>
  <c r="L117" i="5"/>
  <c r="L116" i="5"/>
  <c r="L115" i="5"/>
  <c r="L114" i="5"/>
  <c r="L113" i="5"/>
  <c r="L112" i="5"/>
  <c r="L111" i="5"/>
  <c r="L110" i="5"/>
  <c r="L109" i="5"/>
  <c r="L108" i="5"/>
  <c r="L107" i="5"/>
  <c r="L106" i="5"/>
  <c r="L105" i="5"/>
  <c r="L104" i="5"/>
  <c r="L103" i="5"/>
  <c r="L102" i="5"/>
  <c r="L101" i="5"/>
  <c r="L98" i="5"/>
  <c r="L84" i="5"/>
  <c r="L83" i="5"/>
  <c r="L82" i="5"/>
  <c r="L81" i="5"/>
  <c r="L80" i="5"/>
  <c r="L79" i="5"/>
  <c r="L78" i="5"/>
  <c r="L77" i="5"/>
  <c r="L134" i="5" l="1"/>
</calcChain>
</file>

<file path=xl/sharedStrings.xml><?xml version="1.0" encoding="utf-8"?>
<sst xmlns="http://schemas.openxmlformats.org/spreadsheetml/2006/main" count="966" uniqueCount="175">
  <si>
    <t>PVTO</t>
  </si>
  <si>
    <t>LOCAL</t>
  </si>
  <si>
    <t>AMBIENTE</t>
  </si>
  <si>
    <t>TIPO IMPERMEABILIZAÇÃO</t>
  </si>
  <si>
    <t>PAREDE</t>
  </si>
  <si>
    <t>PISO</t>
  </si>
  <si>
    <t>ALTURA PAREDE (M)</t>
  </si>
  <si>
    <t>PERÍMETRO  PAREDE (M)</t>
  </si>
  <si>
    <t>ÁREA PAREDE (M2)</t>
  </si>
  <si>
    <t>ÁREA PISO (M2)</t>
  </si>
  <si>
    <t>ÁREA TOTAL (M2)</t>
  </si>
  <si>
    <t>SISTEMA 2.1.4</t>
  </si>
  <si>
    <t>SISTEMA 2.5.3</t>
  </si>
  <si>
    <t>EXTERNA</t>
  </si>
  <si>
    <t>INTERNA</t>
  </si>
  <si>
    <t>PROTEÇÃO MECÂNICA</t>
  </si>
  <si>
    <t>SIM</t>
  </si>
  <si>
    <t>NÃO</t>
  </si>
  <si>
    <t>INTERNA/EXTERNA</t>
  </si>
  <si>
    <t>REPETIÇÕES</t>
  </si>
  <si>
    <t>SISTEMA 2.8.6</t>
  </si>
  <si>
    <t>CÓD. PROJETO</t>
  </si>
  <si>
    <t>ELEMENTO</t>
  </si>
  <si>
    <t>QUANT. PVTO</t>
  </si>
  <si>
    <t>QUANT. TOTAL</t>
  </si>
  <si>
    <t>LARG. (M)</t>
  </si>
  <si>
    <t>ALT.(M)</t>
  </si>
  <si>
    <t>IMPERMEABILIZAÇÃO (m2)</t>
  </si>
  <si>
    <t>ESPESSURA (M)</t>
  </si>
  <si>
    <t>IMPERMEABILIZAÇÃO JANELAS E PORTAS</t>
  </si>
  <si>
    <t>TOTAL</t>
  </si>
  <si>
    <t>PREPARAÇÃO SUPERFICIE</t>
  </si>
  <si>
    <t>SISTEMA 1</t>
  </si>
  <si>
    <t xml:space="preserve"> </t>
  </si>
  <si>
    <t>IMPERMEABILIZAÇÃO</t>
  </si>
  <si>
    <t>TORRE</t>
  </si>
  <si>
    <t>EMBASAMENTO</t>
  </si>
  <si>
    <t>TÉRREO</t>
  </si>
  <si>
    <t>ÁREA COMUM</t>
  </si>
  <si>
    <t>SISTEMA 7.0.1</t>
  </si>
  <si>
    <t>SISTEMA 6.1.2</t>
  </si>
  <si>
    <t>SISTEMA 4.5.3</t>
  </si>
  <si>
    <t>SISTEMA 4.2.4</t>
  </si>
  <si>
    <t>SISTEMA 4.9</t>
  </si>
  <si>
    <t>APTO FINAL 02</t>
  </si>
  <si>
    <t>APTO FINAL 03</t>
  </si>
  <si>
    <t>APTO FINAL 04</t>
  </si>
  <si>
    <t>APTO FINAL 05</t>
  </si>
  <si>
    <t>APTO FINAL 06</t>
  </si>
  <si>
    <t>APTO FINAL 07</t>
  </si>
  <si>
    <t>APTO FINAL 08</t>
  </si>
  <si>
    <t>APTO FINAL 09</t>
  </si>
  <si>
    <t>APTO FINAL 10</t>
  </si>
  <si>
    <t>APTO FINAL 11</t>
  </si>
  <si>
    <t>APTO FINAL 12</t>
  </si>
  <si>
    <t>COBERTURA</t>
  </si>
  <si>
    <t>J02</t>
  </si>
  <si>
    <t>J03</t>
  </si>
  <si>
    <t>J07</t>
  </si>
  <si>
    <t>J10</t>
  </si>
  <si>
    <t>PJ06</t>
  </si>
  <si>
    <t>PJ08</t>
  </si>
  <si>
    <t>PJ11</t>
  </si>
  <si>
    <t>PA01</t>
  </si>
  <si>
    <t>PA03</t>
  </si>
  <si>
    <t>PM01</t>
  </si>
  <si>
    <t>PM02</t>
  </si>
  <si>
    <t>PM03</t>
  </si>
  <si>
    <t>PM04</t>
  </si>
  <si>
    <t>PM05</t>
  </si>
  <si>
    <t>PO01</t>
  </si>
  <si>
    <t>PV01</t>
  </si>
  <si>
    <t>PV02</t>
  </si>
  <si>
    <t>V04</t>
  </si>
  <si>
    <t>3º PAVIMENTO</t>
  </si>
  <si>
    <t>V03</t>
  </si>
  <si>
    <t>V05</t>
  </si>
  <si>
    <t>V06</t>
  </si>
  <si>
    <t>4º PAVIMENTO</t>
  </si>
  <si>
    <t>J01</t>
  </si>
  <si>
    <t>J04</t>
  </si>
  <si>
    <t>J05</t>
  </si>
  <si>
    <t>J06</t>
  </si>
  <si>
    <t>J09</t>
  </si>
  <si>
    <t>PJ01</t>
  </si>
  <si>
    <t>PJ02</t>
  </si>
  <si>
    <t>PJ03</t>
  </si>
  <si>
    <t>PJ07</t>
  </si>
  <si>
    <t>PJ09</t>
  </si>
  <si>
    <t>PJ10</t>
  </si>
  <si>
    <t>PJ12</t>
  </si>
  <si>
    <t>PJ13</t>
  </si>
  <si>
    <t>PJ14</t>
  </si>
  <si>
    <t>PA02</t>
  </si>
  <si>
    <t>5º AO 15º PAVIMENTO</t>
  </si>
  <si>
    <t>TORRE 1</t>
  </si>
  <si>
    <t>16º PAVIMENTO</t>
  </si>
  <si>
    <t>ÁTICO</t>
  </si>
  <si>
    <t>V02</t>
  </si>
  <si>
    <t>PV03</t>
  </si>
  <si>
    <t>PV04</t>
  </si>
  <si>
    <t>5º AO 18º PAVIMENTO</t>
  </si>
  <si>
    <t>TORRE 2</t>
  </si>
  <si>
    <t>V01</t>
  </si>
  <si>
    <t>JANELA</t>
  </si>
  <si>
    <t>PORTA</t>
  </si>
  <si>
    <t>PORTÃO</t>
  </si>
  <si>
    <t>VENEZIANA</t>
  </si>
  <si>
    <t>RESERVATÓRIO</t>
  </si>
  <si>
    <t>TETO DO RESERVATÓRIO</t>
  </si>
  <si>
    <t>TERRAÇO PRIVATIVO</t>
  </si>
  <si>
    <t>BLOCO 01</t>
  </si>
  <si>
    <t>BLOCO 02</t>
  </si>
  <si>
    <t xml:space="preserve">ÁREA EXTERNA </t>
  </si>
  <si>
    <t>FLOREIRA</t>
  </si>
  <si>
    <t>BANCOS</t>
  </si>
  <si>
    <t>CIRCULAÇÃO</t>
  </si>
  <si>
    <t>V12</t>
  </si>
  <si>
    <t>PV07</t>
  </si>
  <si>
    <t>PV11</t>
  </si>
  <si>
    <t>V09</t>
  </si>
  <si>
    <t>V15</t>
  </si>
  <si>
    <t>V16</t>
  </si>
  <si>
    <t>PA04</t>
  </si>
  <si>
    <t>PV05</t>
  </si>
  <si>
    <t>PV06</t>
  </si>
  <si>
    <t>PV08</t>
  </si>
  <si>
    <t>PV09</t>
  </si>
  <si>
    <t>PV10</t>
  </si>
  <si>
    <t>J05B</t>
  </si>
  <si>
    <t>PV12</t>
  </si>
  <si>
    <t>V07</t>
  </si>
  <si>
    <t>V08</t>
  </si>
  <si>
    <t>V10</t>
  </si>
  <si>
    <t>V11</t>
  </si>
  <si>
    <t>V13</t>
  </si>
  <si>
    <t>V14</t>
  </si>
  <si>
    <t>2º PAVIMENTO</t>
  </si>
  <si>
    <t>17º E 18º PAVIMENTO</t>
  </si>
  <si>
    <t>4º PVTO</t>
  </si>
  <si>
    <t>3° PVTO</t>
  </si>
  <si>
    <t>SISTEMA 3.5.1</t>
  </si>
  <si>
    <t>SISTEMA 6.8.1</t>
  </si>
  <si>
    <t>TOTAL =</t>
  </si>
  <si>
    <t>RESERVATÓRIO - Cisterna 1</t>
  </si>
  <si>
    <t>RESERVATÓRIO - Cisterna 2</t>
  </si>
  <si>
    <t>RESERVATÓRIO - C. Cheias 1</t>
  </si>
  <si>
    <t>RESERVATÓRIO - C. Cheias 2</t>
  </si>
  <si>
    <t>RESERVATÓRIO - C. Cheias 3</t>
  </si>
  <si>
    <t>RESERVATÓRIO - C. Cheias 4</t>
  </si>
  <si>
    <t>RESERVATÓRIO - Reuso</t>
  </si>
  <si>
    <t>TETO DO RESERVATÓRIO - Reuso</t>
  </si>
  <si>
    <t>LEGENDA DA IMPERMEABILIZAÇÃO</t>
  </si>
  <si>
    <t>Sistema 3.5.1</t>
  </si>
  <si>
    <t>Sistema 4.2.4</t>
  </si>
  <si>
    <t>Manta asfáltica 4mm aderida com asfalto oxidado modificado</t>
  </si>
  <si>
    <t>Sistema 4.5.3</t>
  </si>
  <si>
    <t xml:space="preserve">Sistema 2.1.4 </t>
  </si>
  <si>
    <t>Argamassa polimérica para impermeabilização</t>
  </si>
  <si>
    <t>Sistema 2.5.3</t>
  </si>
  <si>
    <t>Membrana de polímero acrílico com cimento e fibras sintéticas</t>
  </si>
  <si>
    <t>Sistema 2.8.6</t>
  </si>
  <si>
    <t>Argamassa polimérica para impermeabilização + Membrana de polímero acrílico com cimento e fibras sintéticas</t>
  </si>
  <si>
    <t>Membrana de polímero acrílico sem cimento</t>
  </si>
  <si>
    <t>Sistema 4.1.4</t>
  </si>
  <si>
    <t>Manta asfáltica 4mm aderida com maçarico</t>
  </si>
  <si>
    <t>Manta asfáltica 4mm aderida com asfalto oxidado modificado + Emulsão asfáltica antiraiz</t>
  </si>
  <si>
    <t>Sistema 6.8.1</t>
  </si>
  <si>
    <t>Membrana impermeabilizante à base de epóxi poliamida</t>
  </si>
  <si>
    <t>Membrana impermeabilizante à base de poliuretano</t>
  </si>
  <si>
    <t>Sistema 6.1.2</t>
  </si>
  <si>
    <t>LEGENDA SISTEMA</t>
  </si>
  <si>
    <t>INICIO</t>
  </si>
  <si>
    <t>TÉRMINO</t>
  </si>
  <si>
    <t>CRONOGRAMA DE EXECUÇÃO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</si>
</sst>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6" fillId="0" borderId="0"/>
    <xf numFmtId="0" fontId="1" fillId="0" borderId="0"/>
  </cellStyleXfs>
  <cellXfs count="62">
    <xf numFmtId="0" fontId="0" fillId="0" borderId="0" xfId="0"/>
    <xf numFmtId="43" fontId="3" fillId="3" borderId="3" xfId="1" applyFont="1" applyFill="1" applyBorder="1" applyAlignment="1">
      <alignment horizontal="center" vertical="center" wrapText="1"/>
    </xf>
    <xf numFmtId="43" fontId="3" fillId="3" borderId="4" xfId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5" xfId="0" applyBorder="1"/>
    <xf numFmtId="43" fontId="3" fillId="3" borderId="7" xfId="1" applyFont="1" applyFill="1" applyBorder="1" applyAlignment="1">
      <alignment horizontal="center" vertical="center" wrapText="1"/>
    </xf>
    <xf numFmtId="43" fontId="3" fillId="3" borderId="11" xfId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5" borderId="5" xfId="0" applyFont="1" applyFill="1" applyBorder="1"/>
    <xf numFmtId="0" fontId="0" fillId="6" borderId="5" xfId="0" applyFill="1" applyBorder="1"/>
    <xf numFmtId="0" fontId="3" fillId="3" borderId="13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4" fillId="7" borderId="14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2" fontId="0" fillId="0" borderId="0" xfId="0" applyNumberFormat="1"/>
    <xf numFmtId="2" fontId="3" fillId="3" borderId="3" xfId="1" applyNumberFormat="1" applyFont="1" applyFill="1" applyBorder="1" applyAlignment="1">
      <alignment horizontal="center" vertical="center" wrapText="1"/>
    </xf>
    <xf numFmtId="2" fontId="0" fillId="0" borderId="5" xfId="0" applyNumberFormat="1" applyBorder="1"/>
    <xf numFmtId="2" fontId="7" fillId="5" borderId="5" xfId="0" applyNumberFormat="1" applyFont="1" applyFill="1" applyBorder="1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right" vertical="center"/>
    </xf>
    <xf numFmtId="0" fontId="2" fillId="4" borderId="18" xfId="0" applyFont="1" applyFill="1" applyBorder="1" applyAlignment="1">
      <alignment horizontal="right"/>
    </xf>
    <xf numFmtId="0" fontId="2" fillId="0" borderId="5" xfId="0" applyFont="1" applyBorder="1" applyAlignment="1">
      <alignment horizontal="right" vertical="center"/>
    </xf>
    <xf numFmtId="0" fontId="2" fillId="0" borderId="18" xfId="0" applyFont="1" applyBorder="1" applyAlignment="1">
      <alignment horizontal="right"/>
    </xf>
    <xf numFmtId="0" fontId="2" fillId="0" borderId="18" xfId="0" applyFont="1" applyBorder="1" applyAlignment="1">
      <alignment horizontal="right" vertical="center"/>
    </xf>
    <xf numFmtId="0" fontId="3" fillId="3" borderId="19" xfId="0" applyFont="1" applyFill="1" applyBorder="1" applyAlignment="1">
      <alignment horizontal="center" vertical="center" wrapText="1"/>
    </xf>
    <xf numFmtId="43" fontId="3" fillId="3" borderId="20" xfId="1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/>
    </xf>
    <xf numFmtId="0" fontId="4" fillId="8" borderId="14" xfId="0" applyFont="1" applyFill="1" applyBorder="1" applyAlignment="1">
      <alignment horizontal="center"/>
    </xf>
    <xf numFmtId="43" fontId="3" fillId="11" borderId="22" xfId="1" applyFont="1" applyFill="1" applyBorder="1" applyAlignment="1">
      <alignment horizontal="center" vertical="center" wrapText="1"/>
    </xf>
    <xf numFmtId="43" fontId="3" fillId="11" borderId="0" xfId="1" applyFont="1" applyFill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43" fontId="3" fillId="3" borderId="8" xfId="1" applyFont="1" applyFill="1" applyBorder="1" applyAlignment="1">
      <alignment horizontal="center" vertical="center" wrapText="1"/>
    </xf>
    <xf numFmtId="43" fontId="2" fillId="2" borderId="5" xfId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43" fontId="2" fillId="0" borderId="5" xfId="1" applyFont="1" applyFill="1" applyBorder="1" applyAlignment="1">
      <alignment horizontal="center" vertical="center"/>
    </xf>
    <xf numFmtId="164" fontId="2" fillId="0" borderId="5" xfId="1" applyNumberFormat="1" applyFont="1" applyFill="1" applyBorder="1" applyAlignment="1">
      <alignment horizontal="center" vertical="center"/>
    </xf>
    <xf numFmtId="43" fontId="9" fillId="11" borderId="5" xfId="1" applyFont="1" applyFill="1" applyBorder="1" applyAlignment="1">
      <alignment horizontal="center" vertical="center"/>
    </xf>
    <xf numFmtId="43" fontId="8" fillId="9" borderId="21" xfId="1" applyFont="1" applyFill="1" applyBorder="1" applyAlignment="1">
      <alignment horizontal="center" vertical="center"/>
    </xf>
    <xf numFmtId="43" fontId="3" fillId="3" borderId="1" xfId="1" applyFont="1" applyFill="1" applyBorder="1" applyAlignment="1">
      <alignment horizontal="center" vertical="center" wrapText="1"/>
    </xf>
    <xf numFmtId="43" fontId="3" fillId="3" borderId="2" xfId="1" applyFont="1" applyFill="1" applyBorder="1" applyAlignment="1">
      <alignment horizontal="center" vertical="center" wrapText="1"/>
    </xf>
    <xf numFmtId="43" fontId="3" fillId="3" borderId="16" xfId="1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3" fillId="12" borderId="7" xfId="0" applyFont="1" applyFill="1" applyBorder="1" applyAlignment="1">
      <alignment horizontal="center" vertical="center" wrapText="1"/>
    </xf>
    <xf numFmtId="0" fontId="3" fillId="12" borderId="8" xfId="0" applyFont="1" applyFill="1" applyBorder="1" applyAlignment="1">
      <alignment horizontal="center" vertical="center" wrapText="1"/>
    </xf>
    <xf numFmtId="0" fontId="10" fillId="10" borderId="17" xfId="0" applyFont="1" applyFill="1" applyBorder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3" fillId="3" borderId="12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2" xr:uid="{051A20CA-4415-4571-8FC7-25C6DCA907F4}"/>
    <cellStyle name="Normal 2 2" xfId="3" xr:uid="{F77F32A8-8E0A-43BD-A289-D187D2266BA7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598715</xdr:colOff>
      <xdr:row>0</xdr:row>
      <xdr:rowOff>0</xdr:rowOff>
    </xdr:from>
    <xdr:to>
      <xdr:col>9</xdr:col>
      <xdr:colOff>3439225</xdr:colOff>
      <xdr:row>31</xdr:row>
      <xdr:rowOff>163801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CBD00A0-3A6D-8C24-2756-4E934402F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72458" y="0"/>
          <a:ext cx="4930567" cy="59441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https://pridecapitalpartc.sharepoint.com/sites/PRIDECAPITALPARTICIPACOESSOCIETARIAS/Shared%20Documents/Servidor/3%20-%20Pride%20Engenharia/3.3%20-%20Suprimentos/06.%20COMPRADORES/RAFAELA%20BELLO/TOMTICKET/TT%2058390%20-%20IMPERMEABILIZA&#199;&#195;O%20-%20SORANO/084_Sorano_ARQ_Levantamento%20Esquadrias.xlsx?B8AA5E9C" TargetMode="External"/><Relationship Id="rId1" Type="http://schemas.openxmlformats.org/officeDocument/2006/relationships/externalLinkPath" Target="file:///\\B8AA5E9C\084_Sorano_ARQ_Levantamento%20Esquadri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TOS"/>
      <sheetName val="RESUMO ESQ. "/>
      <sheetName val="ESQ. ALUMÍNIO-VIDRO"/>
      <sheetName val="ESQ. MADEIRA"/>
      <sheetName val="ESQ. AÇO GALVANIZADO"/>
      <sheetName val="PAINÉIS"/>
      <sheetName val="GUARDA CORPO TORRES"/>
      <sheetName val="PORTÃO"/>
      <sheetName val="RESUMO"/>
    </sheetNames>
    <sheetDataSet>
      <sheetData sheetId="0"/>
      <sheetData sheetId="1">
        <row r="5">
          <cell r="E5" t="str">
            <v xml:space="preserve">Cód </v>
          </cell>
          <cell r="F5" t="str">
            <v>Elemento</v>
          </cell>
          <cell r="G5" t="str">
            <v>Tipo</v>
          </cell>
          <cell r="H5" t="str">
            <v>Qtde Total</v>
          </cell>
          <cell r="I5" t="str">
            <v>Largura (m)</v>
          </cell>
          <cell r="J5" t="str">
            <v>Altura (m)</v>
          </cell>
          <cell r="K5" t="str">
            <v>Área unidade (m)</v>
          </cell>
          <cell r="L5" t="str">
            <v>Perímetro (m)</v>
          </cell>
        </row>
        <row r="6">
          <cell r="E6" t="str">
            <v>J01</v>
          </cell>
          <cell r="F6" t="str">
            <v>JANELA</v>
          </cell>
          <cell r="G6" t="str">
            <v>ALUMÍNIO;VIDRO</v>
          </cell>
          <cell r="H6">
            <v>139</v>
          </cell>
          <cell r="I6">
            <v>0.5</v>
          </cell>
          <cell r="J6">
            <v>0.73</v>
          </cell>
          <cell r="K6">
            <v>0.36499999999999999</v>
          </cell>
          <cell r="L6">
            <v>2.46</v>
          </cell>
        </row>
        <row r="7">
          <cell r="E7" t="str">
            <v>J02</v>
          </cell>
          <cell r="F7" t="str">
            <v>JANELA</v>
          </cell>
          <cell r="G7" t="str">
            <v>ALUMÍNIO;VIDRO</v>
          </cell>
          <cell r="H7">
            <v>8</v>
          </cell>
          <cell r="I7">
            <v>0.5</v>
          </cell>
          <cell r="J7">
            <v>0.61</v>
          </cell>
          <cell r="K7">
            <v>0.30499999999999999</v>
          </cell>
          <cell r="L7">
            <v>2.2199999999999998</v>
          </cell>
        </row>
        <row r="8">
          <cell r="E8" t="str">
            <v>J03</v>
          </cell>
          <cell r="F8" t="str">
            <v>JANELA</v>
          </cell>
          <cell r="G8" t="str">
            <v>ALUMÍNIO;VIDRO</v>
          </cell>
          <cell r="H8">
            <v>1</v>
          </cell>
          <cell r="I8">
            <v>1.1000000000000001</v>
          </cell>
          <cell r="J8">
            <v>0.8</v>
          </cell>
          <cell r="K8">
            <v>0.88000000000000012</v>
          </cell>
          <cell r="L8">
            <v>3.8000000000000003</v>
          </cell>
        </row>
        <row r="9">
          <cell r="E9" t="str">
            <v>J04</v>
          </cell>
          <cell r="F9" t="str">
            <v>JANELA</v>
          </cell>
          <cell r="G9" t="str">
            <v>ALUMÍNIO;VIDRO</v>
          </cell>
          <cell r="H9">
            <v>298</v>
          </cell>
          <cell r="I9">
            <v>1.2</v>
          </cell>
          <cell r="J9">
            <v>1</v>
          </cell>
          <cell r="K9">
            <v>1.2</v>
          </cell>
          <cell r="L9">
            <v>4.4000000000000004</v>
          </cell>
        </row>
        <row r="10">
          <cell r="E10" t="str">
            <v>J05</v>
          </cell>
          <cell r="F10" t="str">
            <v>JANELA</v>
          </cell>
          <cell r="G10" t="str">
            <v>ALUMÍNIO;VIDRO</v>
          </cell>
          <cell r="H10">
            <v>469</v>
          </cell>
          <cell r="I10">
            <v>1.4</v>
          </cell>
          <cell r="J10">
            <v>1</v>
          </cell>
          <cell r="K10">
            <v>1.4</v>
          </cell>
          <cell r="L10">
            <v>4.8</v>
          </cell>
        </row>
        <row r="11">
          <cell r="E11" t="str">
            <v>J05B</v>
          </cell>
          <cell r="F11" t="str">
            <v>JANELA</v>
          </cell>
          <cell r="G11" t="str">
            <v>ALUMÍNIO;VIDRO</v>
          </cell>
          <cell r="H11">
            <v>1</v>
          </cell>
          <cell r="I11">
            <v>1.4</v>
          </cell>
          <cell r="J11">
            <v>1</v>
          </cell>
          <cell r="K11">
            <v>1.4</v>
          </cell>
          <cell r="L11">
            <v>4.8</v>
          </cell>
        </row>
        <row r="12">
          <cell r="E12" t="str">
            <v>J06</v>
          </cell>
          <cell r="F12" t="str">
            <v>JANELA</v>
          </cell>
          <cell r="G12" t="str">
            <v>ALUMÍNIO;VIDRO</v>
          </cell>
          <cell r="H12">
            <v>8</v>
          </cell>
          <cell r="I12">
            <v>1.5</v>
          </cell>
          <cell r="J12">
            <v>1.9</v>
          </cell>
          <cell r="K12">
            <v>2.8499999999999996</v>
          </cell>
          <cell r="L12">
            <v>6.8</v>
          </cell>
        </row>
        <row r="13">
          <cell r="E13" t="str">
            <v>J07</v>
          </cell>
          <cell r="F13" t="str">
            <v>JANELA</v>
          </cell>
          <cell r="G13" t="str">
            <v>ALUMÍNIO;VIDRO</v>
          </cell>
          <cell r="H13">
            <v>2</v>
          </cell>
          <cell r="I13">
            <v>2</v>
          </cell>
          <cell r="J13">
            <v>1.4</v>
          </cell>
          <cell r="K13">
            <v>2.8</v>
          </cell>
          <cell r="L13">
            <v>6.8</v>
          </cell>
        </row>
        <row r="14">
          <cell r="E14" t="str">
            <v>J08</v>
          </cell>
          <cell r="F14" t="str">
            <v>JANELA</v>
          </cell>
          <cell r="G14" t="str">
            <v>ALUMÍNIO;VIDRO</v>
          </cell>
          <cell r="H14">
            <v>0</v>
          </cell>
          <cell r="I14">
            <v>2</v>
          </cell>
          <cell r="J14">
            <v>1.46</v>
          </cell>
          <cell r="K14">
            <v>2.92</v>
          </cell>
          <cell r="L14">
            <v>6.92</v>
          </cell>
        </row>
        <row r="15">
          <cell r="E15" t="str">
            <v>J09</v>
          </cell>
          <cell r="F15" t="str">
            <v>JANELA</v>
          </cell>
          <cell r="G15" t="str">
            <v>ALUMÍNIO;VIDRO</v>
          </cell>
          <cell r="H15">
            <v>1</v>
          </cell>
          <cell r="I15">
            <v>3.75</v>
          </cell>
          <cell r="J15">
            <v>1.8</v>
          </cell>
          <cell r="K15">
            <v>6.75</v>
          </cell>
          <cell r="L15">
            <v>11.1</v>
          </cell>
        </row>
        <row r="16">
          <cell r="E16" t="str">
            <v>J10</v>
          </cell>
          <cell r="F16" t="str">
            <v>JANELA</v>
          </cell>
          <cell r="G16" t="str">
            <v>ALUMÍNIO;VIDRO</v>
          </cell>
          <cell r="H16">
            <v>1</v>
          </cell>
          <cell r="I16">
            <v>5</v>
          </cell>
          <cell r="J16">
            <v>2.0499999999999998</v>
          </cell>
          <cell r="K16">
            <v>10.25</v>
          </cell>
          <cell r="L16">
            <v>14.1</v>
          </cell>
        </row>
        <row r="17">
          <cell r="E17" t="str">
            <v>PM01</v>
          </cell>
          <cell r="F17" t="str">
            <v>PORTA</v>
          </cell>
          <cell r="G17" t="str">
            <v>MADEIRA</v>
          </cell>
          <cell r="H17">
            <v>456</v>
          </cell>
          <cell r="I17">
            <v>0.6</v>
          </cell>
          <cell r="J17">
            <v>2.1</v>
          </cell>
          <cell r="K17">
            <v>1.26</v>
          </cell>
          <cell r="L17">
            <v>5.4</v>
          </cell>
        </row>
        <row r="18">
          <cell r="E18" t="str">
            <v>PM02</v>
          </cell>
          <cell r="F18" t="str">
            <v>PORTA</v>
          </cell>
          <cell r="G18" t="str">
            <v>MADEIRA</v>
          </cell>
          <cell r="H18">
            <v>615</v>
          </cell>
          <cell r="I18">
            <v>0.7</v>
          </cell>
          <cell r="J18">
            <v>2.1</v>
          </cell>
          <cell r="K18">
            <v>1.47</v>
          </cell>
          <cell r="L18">
            <v>5.6</v>
          </cell>
        </row>
        <row r="19">
          <cell r="E19" t="str">
            <v>PM03</v>
          </cell>
          <cell r="F19" t="str">
            <v>PORTA</v>
          </cell>
          <cell r="G19" t="str">
            <v>MADEIRA</v>
          </cell>
          <cell r="H19">
            <v>384</v>
          </cell>
          <cell r="I19">
            <v>0.8</v>
          </cell>
          <cell r="J19">
            <v>2.1</v>
          </cell>
          <cell r="K19">
            <v>1.6800000000000002</v>
          </cell>
          <cell r="L19">
            <v>5.8000000000000007</v>
          </cell>
        </row>
        <row r="20">
          <cell r="E20" t="str">
            <v>PM04</v>
          </cell>
          <cell r="F20" t="str">
            <v>PORTA</v>
          </cell>
          <cell r="G20" t="str">
            <v>MADEIRA</v>
          </cell>
          <cell r="H20">
            <v>8</v>
          </cell>
          <cell r="I20">
            <v>0.9</v>
          </cell>
          <cell r="J20">
            <v>2.1</v>
          </cell>
          <cell r="K20">
            <v>1.8900000000000001</v>
          </cell>
          <cell r="L20">
            <v>6</v>
          </cell>
        </row>
        <row r="21">
          <cell r="E21" t="str">
            <v>PM05</v>
          </cell>
          <cell r="F21" t="str">
            <v>PORTA</v>
          </cell>
          <cell r="G21" t="str">
            <v>MADEIRA</v>
          </cell>
          <cell r="H21">
            <v>1</v>
          </cell>
          <cell r="I21">
            <v>1</v>
          </cell>
          <cell r="J21">
            <v>2.1</v>
          </cell>
          <cell r="K21">
            <v>2.1</v>
          </cell>
          <cell r="L21">
            <v>6.2</v>
          </cell>
        </row>
        <row r="22">
          <cell r="E22" t="str">
            <v>PO01</v>
          </cell>
          <cell r="F22" t="str">
            <v>PORTA</v>
          </cell>
          <cell r="G22" t="str">
            <v>AÇO GALVANIZADO</v>
          </cell>
          <cell r="H22">
            <v>2</v>
          </cell>
          <cell r="I22">
            <v>5</v>
          </cell>
          <cell r="J22">
            <v>2.5</v>
          </cell>
          <cell r="K22">
            <v>12.5</v>
          </cell>
          <cell r="L22">
            <v>15</v>
          </cell>
        </row>
        <row r="23">
          <cell r="E23" t="str">
            <v>PV01</v>
          </cell>
          <cell r="F23" t="str">
            <v>PORTA</v>
          </cell>
          <cell r="G23" t="str">
            <v>ALUMÍNIO</v>
          </cell>
          <cell r="H23">
            <v>9</v>
          </cell>
          <cell r="I23">
            <v>0.5</v>
          </cell>
          <cell r="J23">
            <v>2.2000000000000002</v>
          </cell>
          <cell r="K23">
            <v>1.1000000000000001</v>
          </cell>
          <cell r="L23">
            <v>5.4</v>
          </cell>
        </row>
        <row r="24">
          <cell r="E24" t="str">
            <v>PV02</v>
          </cell>
          <cell r="F24" t="str">
            <v>PORTA</v>
          </cell>
          <cell r="G24" t="str">
            <v>ALUMÍNIO</v>
          </cell>
          <cell r="H24">
            <v>3</v>
          </cell>
          <cell r="I24">
            <v>0.7</v>
          </cell>
          <cell r="J24">
            <v>0.9</v>
          </cell>
          <cell r="K24">
            <v>0.63</v>
          </cell>
          <cell r="L24">
            <v>3.2</v>
          </cell>
        </row>
        <row r="25">
          <cell r="E25" t="str">
            <v>PV03</v>
          </cell>
          <cell r="F25" t="str">
            <v>PORTA</v>
          </cell>
          <cell r="G25" t="str">
            <v>ALUMÍNIO</v>
          </cell>
          <cell r="H25">
            <v>3</v>
          </cell>
          <cell r="I25">
            <v>0.7</v>
          </cell>
          <cell r="J25">
            <v>2.1</v>
          </cell>
          <cell r="K25">
            <v>1.47</v>
          </cell>
          <cell r="L25">
            <v>5.6</v>
          </cell>
        </row>
        <row r="26">
          <cell r="E26" t="str">
            <v>PV04</v>
          </cell>
          <cell r="F26" t="str">
            <v>PORTA</v>
          </cell>
          <cell r="G26" t="str">
            <v>ALUMÍNIO</v>
          </cell>
          <cell r="H26">
            <v>2</v>
          </cell>
          <cell r="I26">
            <v>0.9</v>
          </cell>
          <cell r="J26">
            <v>2.1</v>
          </cell>
          <cell r="K26">
            <v>1.8900000000000001</v>
          </cell>
          <cell r="L26">
            <v>6</v>
          </cell>
        </row>
        <row r="27">
          <cell r="E27" t="str">
            <v>PV05</v>
          </cell>
          <cell r="F27" t="str">
            <v>PORTA</v>
          </cell>
          <cell r="G27" t="str">
            <v>ALUMÍNIO</v>
          </cell>
          <cell r="H27">
            <v>1</v>
          </cell>
          <cell r="I27">
            <v>1</v>
          </cell>
          <cell r="J27">
            <v>2.1</v>
          </cell>
          <cell r="K27">
            <v>2.1</v>
          </cell>
          <cell r="L27">
            <v>6.2</v>
          </cell>
        </row>
        <row r="28">
          <cell r="E28" t="str">
            <v>PV06</v>
          </cell>
          <cell r="F28" t="str">
            <v>PORTA</v>
          </cell>
          <cell r="G28" t="str">
            <v>ALUMÍNIO</v>
          </cell>
          <cell r="H28">
            <v>4</v>
          </cell>
          <cell r="I28">
            <v>1</v>
          </cell>
          <cell r="J28">
            <v>2.1</v>
          </cell>
          <cell r="K28">
            <v>2.1</v>
          </cell>
          <cell r="L28">
            <v>6.2</v>
          </cell>
        </row>
        <row r="29">
          <cell r="E29" t="str">
            <v>PV07</v>
          </cell>
          <cell r="F29" t="str">
            <v>PORTA</v>
          </cell>
          <cell r="G29" t="str">
            <v>ALUMÍNIO</v>
          </cell>
          <cell r="H29">
            <v>42</v>
          </cell>
          <cell r="I29">
            <v>1.2</v>
          </cell>
          <cell r="J29">
            <v>2.1</v>
          </cell>
          <cell r="K29">
            <v>2.52</v>
          </cell>
          <cell r="L29">
            <v>6.6</v>
          </cell>
        </row>
        <row r="30">
          <cell r="E30" t="str">
            <v>PV08</v>
          </cell>
          <cell r="F30" t="str">
            <v>PORTA</v>
          </cell>
          <cell r="G30" t="str">
            <v>ALUMÍNIO</v>
          </cell>
          <cell r="H30">
            <v>1</v>
          </cell>
          <cell r="I30">
            <v>1.5</v>
          </cell>
          <cell r="J30">
            <v>2.1</v>
          </cell>
          <cell r="K30">
            <v>3.1500000000000004</v>
          </cell>
          <cell r="L30">
            <v>7.2</v>
          </cell>
        </row>
        <row r="31">
          <cell r="E31" t="str">
            <v>PV09</v>
          </cell>
          <cell r="F31" t="str">
            <v>PORTA</v>
          </cell>
          <cell r="G31" t="str">
            <v>ALUMÍNIO</v>
          </cell>
          <cell r="H31">
            <v>3</v>
          </cell>
          <cell r="I31">
            <v>1.8</v>
          </cell>
          <cell r="J31">
            <v>2.1</v>
          </cell>
          <cell r="K31">
            <v>3.7800000000000002</v>
          </cell>
          <cell r="L31">
            <v>7.8000000000000007</v>
          </cell>
        </row>
        <row r="32">
          <cell r="E32" t="str">
            <v>PV10</v>
          </cell>
          <cell r="F32" t="str">
            <v>PORTA</v>
          </cell>
          <cell r="G32" t="str">
            <v>ALUMÍNIO</v>
          </cell>
          <cell r="H32">
            <v>1</v>
          </cell>
          <cell r="I32">
            <v>1.9</v>
          </cell>
          <cell r="J32">
            <v>0.95</v>
          </cell>
          <cell r="K32">
            <v>1.8049999999999999</v>
          </cell>
          <cell r="L32">
            <v>5.6999999999999993</v>
          </cell>
        </row>
        <row r="33">
          <cell r="E33" t="str">
            <v>PV11</v>
          </cell>
          <cell r="F33" t="str">
            <v>PORTA</v>
          </cell>
          <cell r="G33" t="str">
            <v>ALUMÍNIO</v>
          </cell>
          <cell r="H33">
            <v>2</v>
          </cell>
          <cell r="I33">
            <v>1.2</v>
          </cell>
          <cell r="J33">
            <v>2.1</v>
          </cell>
          <cell r="K33">
            <v>2.52</v>
          </cell>
          <cell r="L33">
            <v>6.6</v>
          </cell>
        </row>
        <row r="34">
          <cell r="E34" t="str">
            <v>PV12</v>
          </cell>
          <cell r="F34" t="str">
            <v>PORTA</v>
          </cell>
          <cell r="G34" t="str">
            <v>ALUMÍNIO</v>
          </cell>
          <cell r="H34">
            <v>15</v>
          </cell>
          <cell r="I34">
            <v>1.5</v>
          </cell>
          <cell r="J34">
            <v>2.1</v>
          </cell>
          <cell r="K34">
            <v>3.1500000000000004</v>
          </cell>
          <cell r="L34">
            <v>7.2</v>
          </cell>
        </row>
        <row r="35">
          <cell r="E35" t="str">
            <v>PA01</v>
          </cell>
          <cell r="F35" t="str">
            <v>PORTA</v>
          </cell>
          <cell r="G35" t="str">
            <v>AÇO GALVANIZADO</v>
          </cell>
          <cell r="H35">
            <v>39</v>
          </cell>
          <cell r="I35">
            <v>0.96</v>
          </cell>
          <cell r="J35">
            <v>2.13</v>
          </cell>
          <cell r="K35">
            <v>2.0448</v>
          </cell>
          <cell r="L35">
            <v>6.18</v>
          </cell>
        </row>
        <row r="36">
          <cell r="E36" t="str">
            <v>PA02</v>
          </cell>
          <cell r="F36" t="str">
            <v>PORTA</v>
          </cell>
          <cell r="G36" t="str">
            <v>AÇO GALVANIZADO</v>
          </cell>
          <cell r="H36">
            <v>1</v>
          </cell>
          <cell r="I36">
            <v>1.06</v>
          </cell>
          <cell r="J36">
            <v>2.13</v>
          </cell>
          <cell r="K36">
            <v>2.2578</v>
          </cell>
          <cell r="L36">
            <v>6.38</v>
          </cell>
        </row>
        <row r="37">
          <cell r="E37" t="str">
            <v>PA03</v>
          </cell>
          <cell r="F37" t="str">
            <v>PORTA</v>
          </cell>
          <cell r="G37" t="str">
            <v>AÇO GALVANIZADO</v>
          </cell>
          <cell r="H37">
            <v>1</v>
          </cell>
          <cell r="I37">
            <v>0.86</v>
          </cell>
          <cell r="J37">
            <v>2.13</v>
          </cell>
          <cell r="K37">
            <v>1.8317999999999999</v>
          </cell>
          <cell r="L37">
            <v>5.9799999999999995</v>
          </cell>
        </row>
        <row r="38">
          <cell r="E38" t="str">
            <v>PA04</v>
          </cell>
          <cell r="F38" t="str">
            <v>PORTA</v>
          </cell>
          <cell r="G38" t="str">
            <v>AÇO GALVANIZADO</v>
          </cell>
          <cell r="H38">
            <v>1</v>
          </cell>
          <cell r="I38">
            <v>0.96</v>
          </cell>
          <cell r="J38">
            <v>2.13</v>
          </cell>
          <cell r="K38">
            <v>2.0448</v>
          </cell>
          <cell r="L38">
            <v>6.18</v>
          </cell>
        </row>
        <row r="39">
          <cell r="E39" t="str">
            <v>PJ01</v>
          </cell>
          <cell r="F39" t="str">
            <v>PORTA</v>
          </cell>
          <cell r="G39" t="str">
            <v>ALUMÍNIO;VIDRO</v>
          </cell>
          <cell r="H39">
            <v>9</v>
          </cell>
          <cell r="I39">
            <v>1.1200000000000001</v>
          </cell>
          <cell r="J39">
            <v>2.23</v>
          </cell>
          <cell r="K39">
            <v>2.4976000000000003</v>
          </cell>
          <cell r="L39">
            <v>6.7</v>
          </cell>
        </row>
        <row r="40">
          <cell r="E40" t="str">
            <v>PJ02</v>
          </cell>
          <cell r="F40" t="str">
            <v>PORTA</v>
          </cell>
          <cell r="G40" t="str">
            <v>ALUMÍNIO;VIDRO</v>
          </cell>
          <cell r="H40">
            <v>22</v>
          </cell>
          <cell r="I40">
            <v>1.5</v>
          </cell>
          <cell r="J40">
            <v>2.1</v>
          </cell>
          <cell r="K40">
            <v>3.1500000000000004</v>
          </cell>
          <cell r="L40">
            <v>7.2</v>
          </cell>
        </row>
        <row r="41">
          <cell r="E41" t="str">
            <v>PJ03</v>
          </cell>
          <cell r="F41" t="str">
            <v>PORTA</v>
          </cell>
          <cell r="G41" t="str">
            <v>ALUMÍNIO;VIDRO</v>
          </cell>
          <cell r="H41">
            <v>8</v>
          </cell>
          <cell r="I41">
            <v>1.6</v>
          </cell>
          <cell r="J41">
            <v>2.1</v>
          </cell>
          <cell r="K41">
            <v>3.3600000000000003</v>
          </cell>
          <cell r="L41">
            <v>7.4</v>
          </cell>
        </row>
        <row r="42">
          <cell r="E42" t="str">
            <v>PJ06</v>
          </cell>
          <cell r="F42" t="str">
            <v>PORTA</v>
          </cell>
          <cell r="G42" t="str">
            <v>ALUMÍNIO;VIDRO</v>
          </cell>
          <cell r="H42">
            <v>1</v>
          </cell>
          <cell r="I42">
            <v>1.8</v>
          </cell>
          <cell r="J42">
            <v>2.1</v>
          </cell>
          <cell r="K42">
            <v>3.7800000000000002</v>
          </cell>
          <cell r="L42">
            <v>7.8000000000000007</v>
          </cell>
        </row>
        <row r="43">
          <cell r="E43" t="str">
            <v>PJ07</v>
          </cell>
          <cell r="F43" t="str">
            <v>PORTA</v>
          </cell>
          <cell r="G43" t="str">
            <v>ALUMÍNIO;VIDRO</v>
          </cell>
          <cell r="H43">
            <v>141</v>
          </cell>
          <cell r="I43">
            <v>1.86</v>
          </cell>
          <cell r="J43">
            <v>2.5</v>
          </cell>
          <cell r="K43">
            <v>4.6500000000000004</v>
          </cell>
          <cell r="L43">
            <v>8.7200000000000006</v>
          </cell>
        </row>
        <row r="44">
          <cell r="E44" t="str">
            <v>PJ08</v>
          </cell>
          <cell r="F44" t="str">
            <v>PORTA</v>
          </cell>
          <cell r="G44" t="str">
            <v>ALUMÍNIO;VIDRO</v>
          </cell>
          <cell r="H44">
            <v>66</v>
          </cell>
          <cell r="I44">
            <v>1.6</v>
          </cell>
          <cell r="J44">
            <v>2.1</v>
          </cell>
          <cell r="K44">
            <v>3.3600000000000003</v>
          </cell>
          <cell r="L44">
            <v>7.4</v>
          </cell>
        </row>
        <row r="45">
          <cell r="E45" t="str">
            <v>PJ09</v>
          </cell>
          <cell r="F45" t="str">
            <v>PORTA</v>
          </cell>
          <cell r="G45" t="str">
            <v>ALUMÍNIO;VIDRO</v>
          </cell>
          <cell r="H45">
            <v>2</v>
          </cell>
          <cell r="I45">
            <v>2.06</v>
          </cell>
          <cell r="J45">
            <v>2.13</v>
          </cell>
          <cell r="K45">
            <v>4.3877999999999995</v>
          </cell>
          <cell r="L45">
            <v>8.379999999999999</v>
          </cell>
        </row>
        <row r="46">
          <cell r="E46" t="str">
            <v>PJ10</v>
          </cell>
          <cell r="F46" t="str">
            <v>PORTA</v>
          </cell>
          <cell r="G46" t="str">
            <v>ALUMÍNIO;VIDRO</v>
          </cell>
          <cell r="H46">
            <v>2</v>
          </cell>
          <cell r="I46">
            <v>1.06</v>
          </cell>
          <cell r="J46">
            <v>2.13</v>
          </cell>
          <cell r="K46">
            <v>2.2578</v>
          </cell>
          <cell r="L46">
            <v>6.38</v>
          </cell>
        </row>
        <row r="47">
          <cell r="E47" t="str">
            <v>PJ11</v>
          </cell>
          <cell r="F47" t="str">
            <v>PORTA</v>
          </cell>
          <cell r="G47" t="str">
            <v>ALUMÍNIO;VIDRO</v>
          </cell>
          <cell r="H47">
            <v>1</v>
          </cell>
          <cell r="I47">
            <v>2.6</v>
          </cell>
          <cell r="J47">
            <v>2.2000000000000002</v>
          </cell>
          <cell r="K47">
            <v>5.7200000000000006</v>
          </cell>
          <cell r="L47">
            <v>9.6000000000000014</v>
          </cell>
        </row>
        <row r="48">
          <cell r="E48" t="str">
            <v>PJ12</v>
          </cell>
          <cell r="F48" t="str">
            <v>PORTA</v>
          </cell>
          <cell r="G48" t="str">
            <v>ALUMÍNIO;VIDRO</v>
          </cell>
          <cell r="H48">
            <v>1</v>
          </cell>
          <cell r="I48">
            <v>3</v>
          </cell>
          <cell r="J48">
            <v>2.1</v>
          </cell>
          <cell r="K48">
            <v>6.3000000000000007</v>
          </cell>
          <cell r="L48">
            <v>10.199999999999999</v>
          </cell>
        </row>
        <row r="49">
          <cell r="E49" t="str">
            <v>PJ13</v>
          </cell>
          <cell r="F49" t="str">
            <v>PORTA</v>
          </cell>
          <cell r="G49" t="str">
            <v>ALUMÍNIO;VIDRO</v>
          </cell>
          <cell r="H49">
            <v>2</v>
          </cell>
          <cell r="I49">
            <v>3.8</v>
          </cell>
          <cell r="J49">
            <v>2.2000000000000002</v>
          </cell>
          <cell r="K49">
            <v>8.36</v>
          </cell>
          <cell r="L49">
            <v>12</v>
          </cell>
        </row>
        <row r="50">
          <cell r="E50" t="str">
            <v>PJ14</v>
          </cell>
          <cell r="F50" t="str">
            <v>PORTA</v>
          </cell>
          <cell r="G50" t="str">
            <v>ALUMÍNIO;VIDRO</v>
          </cell>
          <cell r="H50">
            <v>2</v>
          </cell>
          <cell r="I50">
            <v>0.96</v>
          </cell>
          <cell r="J50">
            <v>2.5</v>
          </cell>
          <cell r="K50">
            <v>2.4</v>
          </cell>
          <cell r="L50">
            <v>6.92</v>
          </cell>
        </row>
        <row r="51">
          <cell r="E51" t="str">
            <v>V01</v>
          </cell>
          <cell r="F51" t="str">
            <v>VENEZIANA</v>
          </cell>
          <cell r="G51" t="str">
            <v>ALUMÍNIO</v>
          </cell>
          <cell r="H51">
            <v>6</v>
          </cell>
          <cell r="I51">
            <v>0.1</v>
          </cell>
          <cell r="J51">
            <v>0.1</v>
          </cell>
          <cell r="K51">
            <v>1.0000000000000002E-2</v>
          </cell>
          <cell r="L51">
            <v>0.4</v>
          </cell>
        </row>
        <row r="52">
          <cell r="E52" t="str">
            <v>V02</v>
          </cell>
          <cell r="F52" t="str">
            <v>VENEZIANA</v>
          </cell>
          <cell r="G52" t="str">
            <v>ALUMÍNIO</v>
          </cell>
          <cell r="H52">
            <v>6</v>
          </cell>
          <cell r="I52">
            <v>0.25</v>
          </cell>
          <cell r="J52">
            <v>0.25</v>
          </cell>
          <cell r="K52">
            <v>6.25E-2</v>
          </cell>
          <cell r="L52">
            <v>1</v>
          </cell>
        </row>
        <row r="53">
          <cell r="E53" t="str">
            <v>V03</v>
          </cell>
          <cell r="F53" t="str">
            <v>VENEZIANA</v>
          </cell>
          <cell r="G53" t="str">
            <v>ALUMÍNIO</v>
          </cell>
          <cell r="H53">
            <v>1</v>
          </cell>
          <cell r="I53">
            <v>0.3</v>
          </cell>
          <cell r="J53">
            <v>0.5</v>
          </cell>
          <cell r="K53">
            <v>0.15</v>
          </cell>
          <cell r="L53">
            <v>1.6</v>
          </cell>
        </row>
        <row r="54">
          <cell r="E54" t="str">
            <v>V04</v>
          </cell>
          <cell r="F54" t="str">
            <v>VENEZIANA</v>
          </cell>
          <cell r="G54" t="str">
            <v>ALUMÍNIO</v>
          </cell>
          <cell r="H54">
            <v>1</v>
          </cell>
          <cell r="I54">
            <v>1</v>
          </cell>
          <cell r="J54">
            <v>0.5</v>
          </cell>
          <cell r="K54">
            <v>0.5</v>
          </cell>
          <cell r="L54">
            <v>3</v>
          </cell>
        </row>
        <row r="55">
          <cell r="E55" t="str">
            <v>V05</v>
          </cell>
          <cell r="F55" t="str">
            <v>VENEZIANA</v>
          </cell>
          <cell r="G55" t="str">
            <v>ALUMÍNIO</v>
          </cell>
          <cell r="H55">
            <v>30</v>
          </cell>
          <cell r="I55">
            <v>1.3</v>
          </cell>
          <cell r="J55">
            <v>1.4</v>
          </cell>
          <cell r="K55">
            <v>1.8199999999999998</v>
          </cell>
          <cell r="L55">
            <v>5.4</v>
          </cell>
        </row>
        <row r="56">
          <cell r="E56" t="str">
            <v>V06</v>
          </cell>
          <cell r="F56" t="str">
            <v>VENEZIANA</v>
          </cell>
          <cell r="G56" t="str">
            <v>ALUMÍNIO</v>
          </cell>
          <cell r="H56">
            <v>1</v>
          </cell>
          <cell r="I56">
            <v>1.5</v>
          </cell>
          <cell r="J56">
            <v>0.8</v>
          </cell>
          <cell r="K56">
            <v>1.2000000000000002</v>
          </cell>
          <cell r="L56">
            <v>4.5999999999999996</v>
          </cell>
        </row>
        <row r="57">
          <cell r="E57" t="str">
            <v>V07</v>
          </cell>
          <cell r="F57" t="str">
            <v>VENEZIANA</v>
          </cell>
          <cell r="G57" t="str">
            <v>ALUMÍNIO</v>
          </cell>
          <cell r="H57">
            <v>1</v>
          </cell>
          <cell r="I57">
            <v>1.75</v>
          </cell>
          <cell r="J57">
            <v>1.64</v>
          </cell>
          <cell r="K57">
            <v>2.8699999999999997</v>
          </cell>
          <cell r="L57">
            <v>6.7799999999999994</v>
          </cell>
        </row>
        <row r="58">
          <cell r="E58" t="str">
            <v>V08</v>
          </cell>
          <cell r="F58" t="str">
            <v>VENEZIANA</v>
          </cell>
          <cell r="G58" t="str">
            <v>ALUMÍNIO</v>
          </cell>
          <cell r="H58">
            <v>1</v>
          </cell>
          <cell r="I58">
            <v>1.95</v>
          </cell>
          <cell r="J58">
            <v>1.64</v>
          </cell>
          <cell r="K58">
            <v>3.198</v>
          </cell>
          <cell r="L58">
            <v>7.18</v>
          </cell>
        </row>
        <row r="59">
          <cell r="E59" t="str">
            <v>V09</v>
          </cell>
          <cell r="F59" t="str">
            <v>VENEZIANA</v>
          </cell>
          <cell r="G59" t="str">
            <v>ALUMÍNIO</v>
          </cell>
          <cell r="H59">
            <v>1</v>
          </cell>
          <cell r="I59">
            <v>2</v>
          </cell>
          <cell r="J59">
            <v>1.8</v>
          </cell>
          <cell r="K59">
            <v>3.6</v>
          </cell>
          <cell r="L59">
            <v>7.6</v>
          </cell>
        </row>
        <row r="60">
          <cell r="E60" t="str">
            <v>V10</v>
          </cell>
          <cell r="F60" t="str">
            <v>VENEZIANA</v>
          </cell>
          <cell r="G60" t="str">
            <v>ALUMÍNIO</v>
          </cell>
          <cell r="H60">
            <v>1</v>
          </cell>
          <cell r="I60">
            <v>2.0499999999999998</v>
          </cell>
          <cell r="J60">
            <v>1.64</v>
          </cell>
          <cell r="K60">
            <v>3.3619999999999997</v>
          </cell>
          <cell r="L60">
            <v>7.379999999999999</v>
          </cell>
        </row>
        <row r="61">
          <cell r="E61" t="str">
            <v>V11</v>
          </cell>
          <cell r="F61" t="str">
            <v>VENEZIANA</v>
          </cell>
          <cell r="G61" t="str">
            <v>ALUMÍNIO</v>
          </cell>
          <cell r="H61">
            <v>1</v>
          </cell>
          <cell r="I61">
            <v>2.9</v>
          </cell>
          <cell r="J61">
            <v>1.64</v>
          </cell>
          <cell r="K61">
            <v>4.7559999999999993</v>
          </cell>
          <cell r="L61">
            <v>9.08</v>
          </cell>
        </row>
        <row r="62">
          <cell r="E62" t="str">
            <v>V12</v>
          </cell>
          <cell r="F62" t="str">
            <v>VENEZIANA</v>
          </cell>
          <cell r="G62" t="str">
            <v>ALUMÍNIO</v>
          </cell>
          <cell r="H62">
            <v>4</v>
          </cell>
          <cell r="I62">
            <v>3</v>
          </cell>
          <cell r="J62">
            <v>1.8</v>
          </cell>
          <cell r="K62">
            <v>5.4</v>
          </cell>
          <cell r="L62">
            <v>9.6</v>
          </cell>
        </row>
        <row r="63">
          <cell r="E63" t="str">
            <v>V13</v>
          </cell>
          <cell r="F63" t="str">
            <v>VENEZIANA</v>
          </cell>
          <cell r="G63" t="str">
            <v>ALUMÍNIO</v>
          </cell>
          <cell r="H63">
            <v>2</v>
          </cell>
          <cell r="I63">
            <v>3.1</v>
          </cell>
          <cell r="J63">
            <v>2</v>
          </cell>
          <cell r="K63">
            <v>6.2</v>
          </cell>
          <cell r="L63">
            <v>10.199999999999999</v>
          </cell>
        </row>
        <row r="64">
          <cell r="E64" t="str">
            <v>V14</v>
          </cell>
          <cell r="F64" t="str">
            <v>VENEZIANA</v>
          </cell>
          <cell r="G64" t="str">
            <v>ALUMÍNIO</v>
          </cell>
          <cell r="H64">
            <v>1</v>
          </cell>
          <cell r="I64">
            <v>3.2</v>
          </cell>
          <cell r="J64">
            <v>2</v>
          </cell>
          <cell r="K64">
            <v>6.4</v>
          </cell>
          <cell r="L64">
            <v>10.4</v>
          </cell>
        </row>
        <row r="65">
          <cell r="E65" t="str">
            <v>V15</v>
          </cell>
          <cell r="F65" t="str">
            <v>VENEZIANA</v>
          </cell>
          <cell r="G65" t="str">
            <v>ALUMÍNIO</v>
          </cell>
          <cell r="H65">
            <v>2</v>
          </cell>
          <cell r="I65">
            <v>2.75</v>
          </cell>
          <cell r="J65">
            <v>1.5</v>
          </cell>
          <cell r="K65">
            <v>4.125</v>
          </cell>
          <cell r="L65">
            <v>8.5</v>
          </cell>
        </row>
        <row r="66">
          <cell r="E66" t="str">
            <v>V16</v>
          </cell>
          <cell r="F66" t="str">
            <v>VENEZIANA</v>
          </cell>
          <cell r="G66" t="str">
            <v>ALUMÍNIO</v>
          </cell>
          <cell r="H66">
            <v>4</v>
          </cell>
          <cell r="I66">
            <v>3.25</v>
          </cell>
          <cell r="J66">
            <v>2.25</v>
          </cell>
          <cell r="K66">
            <v>7.3125</v>
          </cell>
          <cell r="L66">
            <v>11</v>
          </cell>
        </row>
        <row r="67">
          <cell r="E67"/>
          <cell r="F67"/>
          <cell r="G67"/>
          <cell r="H67">
            <v>0</v>
          </cell>
          <cell r="I67"/>
          <cell r="J67"/>
          <cell r="K67">
            <v>0</v>
          </cell>
          <cell r="L67">
            <v>0</v>
          </cell>
        </row>
        <row r="68">
          <cell r="E68"/>
          <cell r="F68"/>
          <cell r="G68"/>
          <cell r="H68">
            <v>0</v>
          </cell>
          <cell r="I68"/>
          <cell r="J68"/>
          <cell r="K68">
            <v>0</v>
          </cell>
          <cell r="L68">
            <v>0</v>
          </cell>
        </row>
        <row r="69">
          <cell r="E69"/>
          <cell r="F69"/>
          <cell r="G69"/>
          <cell r="H69">
            <v>0</v>
          </cell>
          <cell r="I69"/>
          <cell r="J69"/>
          <cell r="K69">
            <v>0</v>
          </cell>
          <cell r="L69">
            <v>0</v>
          </cell>
        </row>
        <row r="70">
          <cell r="E70"/>
          <cell r="F70"/>
          <cell r="G70"/>
          <cell r="H70">
            <v>0</v>
          </cell>
          <cell r="I70"/>
          <cell r="J70"/>
          <cell r="K70">
            <v>0</v>
          </cell>
          <cell r="L70">
            <v>0</v>
          </cell>
        </row>
        <row r="71">
          <cell r="E71"/>
          <cell r="F71"/>
          <cell r="G71"/>
          <cell r="H71">
            <v>0</v>
          </cell>
          <cell r="I71"/>
          <cell r="J71"/>
          <cell r="K71">
            <v>0</v>
          </cell>
          <cell r="L71">
            <v>0</v>
          </cell>
        </row>
        <row r="72">
          <cell r="E72"/>
          <cell r="F72"/>
          <cell r="G72"/>
          <cell r="H72"/>
          <cell r="I72"/>
          <cell r="J72"/>
          <cell r="K72"/>
          <cell r="L72"/>
        </row>
        <row r="73">
          <cell r="E73"/>
          <cell r="F73"/>
          <cell r="G73"/>
          <cell r="H73"/>
          <cell r="I73"/>
          <cell r="J73"/>
          <cell r="K73"/>
          <cell r="L73"/>
        </row>
        <row r="74">
          <cell r="E74"/>
          <cell r="F74"/>
          <cell r="G74"/>
          <cell r="H74"/>
          <cell r="I74"/>
          <cell r="J74"/>
          <cell r="K74"/>
          <cell r="L74"/>
        </row>
        <row r="75">
          <cell r="E75"/>
          <cell r="F75"/>
          <cell r="G75"/>
          <cell r="H75"/>
          <cell r="I75"/>
          <cell r="J75"/>
          <cell r="K75"/>
          <cell r="L75"/>
        </row>
        <row r="76">
          <cell r="E76"/>
          <cell r="F76"/>
          <cell r="G76"/>
          <cell r="H76"/>
          <cell r="I76"/>
          <cell r="J76"/>
          <cell r="K76"/>
          <cell r="L76"/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91975-11F1-4376-9F81-88767CF8F990}">
  <dimension ref="B2:F30"/>
  <sheetViews>
    <sheetView tabSelected="1" topLeftCell="A12" zoomScaleNormal="100" workbookViewId="0">
      <selection activeCell="J30" sqref="J30"/>
    </sheetView>
  </sheetViews>
  <sheetFormatPr defaultRowHeight="15" x14ac:dyDescent="0.25"/>
  <cols>
    <col min="2" max="2" width="13.140625" bestFit="1" customWidth="1"/>
    <col min="3" max="3" width="103" bestFit="1" customWidth="1"/>
    <col min="4" max="4" width="23.42578125" hidden="1" customWidth="1"/>
    <col min="5" max="5" width="19.7109375" hidden="1" customWidth="1"/>
    <col min="6" max="6" width="22.28515625" hidden="1" customWidth="1"/>
    <col min="9" max="9" width="12.7109375" bestFit="1" customWidth="1"/>
    <col min="10" max="10" width="96.28515625" bestFit="1" customWidth="1"/>
  </cols>
  <sheetData>
    <row r="2" spans="2:6" ht="15.75" thickBot="1" x14ac:dyDescent="0.3"/>
    <row r="3" spans="2:6" x14ac:dyDescent="0.25">
      <c r="B3" s="13" t="s">
        <v>2</v>
      </c>
      <c r="D3" s="4" t="s">
        <v>3</v>
      </c>
      <c r="E3" s="4" t="s">
        <v>15</v>
      </c>
      <c r="F3" s="13" t="s">
        <v>31</v>
      </c>
    </row>
    <row r="4" spans="2:6" x14ac:dyDescent="0.25">
      <c r="B4" s="14" t="s">
        <v>14</v>
      </c>
      <c r="D4" s="16" t="s">
        <v>32</v>
      </c>
      <c r="E4" s="16" t="s">
        <v>17</v>
      </c>
      <c r="F4" s="17" t="s">
        <v>16</v>
      </c>
    </row>
    <row r="5" spans="2:6" ht="15.75" thickBot="1" x14ac:dyDescent="0.3">
      <c r="B5" s="15" t="s">
        <v>13</v>
      </c>
      <c r="D5" s="5" t="s">
        <v>11</v>
      </c>
      <c r="E5" s="5" t="s">
        <v>17</v>
      </c>
      <c r="F5" s="14" t="s">
        <v>16</v>
      </c>
    </row>
    <row r="6" spans="2:6" x14ac:dyDescent="0.25">
      <c r="D6" s="5" t="s">
        <v>12</v>
      </c>
      <c r="E6" s="5" t="s">
        <v>17</v>
      </c>
      <c r="F6" s="14" t="s">
        <v>16</v>
      </c>
    </row>
    <row r="7" spans="2:6" x14ac:dyDescent="0.25">
      <c r="D7" s="5" t="s">
        <v>20</v>
      </c>
      <c r="E7" s="5" t="s">
        <v>17</v>
      </c>
      <c r="F7" s="14" t="s">
        <v>16</v>
      </c>
    </row>
    <row r="8" spans="2:6" x14ac:dyDescent="0.25">
      <c r="D8" s="5" t="s">
        <v>42</v>
      </c>
      <c r="E8" s="5" t="s">
        <v>16</v>
      </c>
      <c r="F8" s="14" t="s">
        <v>16</v>
      </c>
    </row>
    <row r="9" spans="2:6" x14ac:dyDescent="0.25">
      <c r="D9" s="5" t="s">
        <v>41</v>
      </c>
      <c r="E9" s="5" t="s">
        <v>16</v>
      </c>
      <c r="F9" s="14" t="s">
        <v>16</v>
      </c>
    </row>
    <row r="10" spans="2:6" x14ac:dyDescent="0.25">
      <c r="D10" s="16" t="s">
        <v>43</v>
      </c>
      <c r="E10" s="16" t="s">
        <v>16</v>
      </c>
      <c r="F10" s="17" t="s">
        <v>16</v>
      </c>
    </row>
    <row r="11" spans="2:6" x14ac:dyDescent="0.25">
      <c r="D11" s="5" t="s">
        <v>40</v>
      </c>
      <c r="E11" s="5" t="s">
        <v>17</v>
      </c>
      <c r="F11" s="14" t="s">
        <v>16</v>
      </c>
    </row>
    <row r="12" spans="2:6" x14ac:dyDescent="0.25">
      <c r="D12" s="5" t="s">
        <v>39</v>
      </c>
      <c r="E12" s="5" t="s">
        <v>17</v>
      </c>
      <c r="F12" s="14" t="s">
        <v>16</v>
      </c>
    </row>
    <row r="13" spans="2:6" x14ac:dyDescent="0.25">
      <c r="D13" s="39" t="s">
        <v>141</v>
      </c>
      <c r="E13" s="39" t="s">
        <v>17</v>
      </c>
      <c r="F13" s="40" t="s">
        <v>16</v>
      </c>
    </row>
    <row r="14" spans="2:6" x14ac:dyDescent="0.25">
      <c r="D14" s="39" t="s">
        <v>142</v>
      </c>
      <c r="E14" s="39" t="s">
        <v>17</v>
      </c>
      <c r="F14" s="40" t="s">
        <v>16</v>
      </c>
    </row>
    <row r="15" spans="2:6" ht="15.75" thickBot="1" x14ac:dyDescent="0.3">
      <c r="D15" s="6"/>
      <c r="E15" s="6"/>
      <c r="F15" s="15"/>
    </row>
    <row r="19" spans="2:3" x14ac:dyDescent="0.25">
      <c r="B19" s="7"/>
      <c r="C19" s="7" t="s">
        <v>152</v>
      </c>
    </row>
    <row r="20" spans="2:3" x14ac:dyDescent="0.25">
      <c r="B20" s="7"/>
      <c r="C20" s="7"/>
    </row>
    <row r="21" spans="2:3" x14ac:dyDescent="0.25">
      <c r="B21" s="7"/>
      <c r="C21" s="7"/>
    </row>
    <row r="22" spans="2:3" x14ac:dyDescent="0.25">
      <c r="B22" s="7" t="s">
        <v>157</v>
      </c>
      <c r="C22" s="7" t="s">
        <v>158</v>
      </c>
    </row>
    <row r="23" spans="2:3" x14ac:dyDescent="0.25">
      <c r="B23" s="7" t="s">
        <v>159</v>
      </c>
      <c r="C23" s="7" t="s">
        <v>160</v>
      </c>
    </row>
    <row r="24" spans="2:3" x14ac:dyDescent="0.25">
      <c r="B24" s="7" t="s">
        <v>161</v>
      </c>
      <c r="C24" s="7" t="s">
        <v>162</v>
      </c>
    </row>
    <row r="25" spans="2:3" ht="15" customHeight="1" x14ac:dyDescent="0.25">
      <c r="B25" s="7" t="s">
        <v>153</v>
      </c>
      <c r="C25" s="7" t="s">
        <v>163</v>
      </c>
    </row>
    <row r="26" spans="2:3" x14ac:dyDescent="0.25">
      <c r="B26" s="7" t="s">
        <v>164</v>
      </c>
      <c r="C26" s="7" t="s">
        <v>165</v>
      </c>
    </row>
    <row r="27" spans="2:3" x14ac:dyDescent="0.25">
      <c r="B27" s="7" t="s">
        <v>154</v>
      </c>
      <c r="C27" s="7" t="s">
        <v>155</v>
      </c>
    </row>
    <row r="28" spans="2:3" x14ac:dyDescent="0.25">
      <c r="B28" s="7" t="s">
        <v>156</v>
      </c>
      <c r="C28" s="7" t="s">
        <v>166</v>
      </c>
    </row>
    <row r="29" spans="2:3" x14ac:dyDescent="0.25">
      <c r="B29" s="7" t="s">
        <v>170</v>
      </c>
      <c r="C29" s="7" t="s">
        <v>169</v>
      </c>
    </row>
    <row r="30" spans="2:3" x14ac:dyDescent="0.25">
      <c r="B30" s="7" t="s">
        <v>167</v>
      </c>
      <c r="C30" s="7" t="s">
        <v>168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3C932-BF99-4860-9D8F-6B0CF29063E5}">
  <dimension ref="A1:R159"/>
  <sheetViews>
    <sheetView zoomScaleNormal="100" workbookViewId="0">
      <pane xSplit="5" ySplit="3" topLeftCell="F34" activePane="bottomRight" state="frozen"/>
      <selection pane="topRight" activeCell="F1" sqref="F1"/>
      <selection pane="bottomLeft" activeCell="A4" sqref="A4"/>
      <selection pane="bottomRight" activeCell="C7" sqref="C7"/>
    </sheetView>
  </sheetViews>
  <sheetFormatPr defaultRowHeight="15" x14ac:dyDescent="0.25"/>
  <cols>
    <col min="1" max="1" width="1.7109375" style="29" bestFit="1" customWidth="1"/>
    <col min="2" max="2" width="17.42578125" style="29" bestFit="1" customWidth="1"/>
    <col min="3" max="3" width="15.85546875" style="29" bestFit="1" customWidth="1"/>
    <col min="4" max="4" width="17.140625" style="29" bestFit="1" customWidth="1"/>
    <col min="5" max="5" width="32.85546875" style="29" bestFit="1" customWidth="1"/>
    <col min="6" max="6" width="31.42578125" style="29" bestFit="1" customWidth="1"/>
    <col min="7" max="7" width="31.28515625" style="29" bestFit="1" customWidth="1"/>
    <col min="8" max="8" width="97.85546875" style="29" bestFit="1" customWidth="1"/>
    <col min="9" max="9" width="39.85546875" style="29" bestFit="1" customWidth="1"/>
    <col min="10" max="10" width="35.28515625" style="29" bestFit="1" customWidth="1"/>
    <col min="11" max="11" width="33.85546875" style="29" bestFit="1" customWidth="1"/>
    <col min="12" max="12" width="39.140625" style="29" bestFit="1" customWidth="1"/>
    <col min="13" max="13" width="32.28515625" style="29" bestFit="1" customWidth="1"/>
    <col min="14" max="14" width="28" style="29" bestFit="1" customWidth="1"/>
    <col min="15" max="15" width="24.28515625" style="29" bestFit="1" customWidth="1"/>
    <col min="16" max="16" width="30.28515625" style="29" bestFit="1" customWidth="1"/>
    <col min="17" max="17" width="17.140625" style="29" bestFit="1" customWidth="1"/>
    <col min="18" max="18" width="20.28515625" style="29" bestFit="1" customWidth="1"/>
  </cols>
  <sheetData>
    <row r="1" spans="2:18" ht="15.75" thickBot="1" x14ac:dyDescent="0.3"/>
    <row r="2" spans="2:18" ht="16.5" thickBot="1" x14ac:dyDescent="0.3">
      <c r="B2" s="56" t="s">
        <v>34</v>
      </c>
      <c r="C2" s="57"/>
      <c r="D2" s="57"/>
      <c r="E2" s="57"/>
      <c r="F2" s="57"/>
      <c r="G2" s="57"/>
      <c r="H2" s="57"/>
      <c r="I2" s="57"/>
      <c r="J2" s="58"/>
      <c r="K2" s="53" t="s">
        <v>4</v>
      </c>
      <c r="L2" s="54"/>
      <c r="M2" s="55"/>
      <c r="N2" s="9" t="s">
        <v>5</v>
      </c>
      <c r="O2" s="8"/>
      <c r="P2" s="45"/>
      <c r="Q2" s="59" t="s">
        <v>174</v>
      </c>
      <c r="R2" s="60"/>
    </row>
    <row r="3" spans="2:18" x14ac:dyDescent="0.25">
      <c r="B3" s="18" t="s">
        <v>35</v>
      </c>
      <c r="C3" s="37" t="s">
        <v>0</v>
      </c>
      <c r="D3" s="37" t="s">
        <v>1</v>
      </c>
      <c r="E3" s="37" t="s">
        <v>2</v>
      </c>
      <c r="F3" s="37" t="s">
        <v>18</v>
      </c>
      <c r="G3" s="37" t="s">
        <v>171</v>
      </c>
      <c r="H3" s="37" t="s">
        <v>3</v>
      </c>
      <c r="I3" s="37" t="s">
        <v>31</v>
      </c>
      <c r="J3" s="37" t="s">
        <v>15</v>
      </c>
      <c r="K3" s="38" t="s">
        <v>6</v>
      </c>
      <c r="L3" s="38" t="s">
        <v>7</v>
      </c>
      <c r="M3" s="38" t="s">
        <v>8</v>
      </c>
      <c r="N3" s="38" t="s">
        <v>9</v>
      </c>
      <c r="O3" s="9" t="s">
        <v>19</v>
      </c>
      <c r="P3" s="2" t="s">
        <v>10</v>
      </c>
      <c r="Q3" s="41" t="s">
        <v>172</v>
      </c>
      <c r="R3" s="42" t="s">
        <v>173</v>
      </c>
    </row>
    <row r="4" spans="2:18" x14ac:dyDescent="0.25">
      <c r="B4" s="47" t="s">
        <v>36</v>
      </c>
      <c r="C4" s="47" t="s">
        <v>37</v>
      </c>
      <c r="D4" s="47" t="s">
        <v>38</v>
      </c>
      <c r="E4" s="47" t="s">
        <v>144</v>
      </c>
      <c r="F4" s="47" t="s">
        <v>14</v>
      </c>
      <c r="G4" s="47" t="s">
        <v>20</v>
      </c>
      <c r="H4" s="47" t="str">
        <f>VLOOKUP(G4,DADOS!$B$22:$C$30,2,TRUE)</f>
        <v>Argamassa polimérica para impermeabilização + Membrana de polímero acrílico com cimento e fibras sintéticas</v>
      </c>
      <c r="I4" s="48" t="s">
        <v>16</v>
      </c>
      <c r="J4" s="48" t="s">
        <v>17</v>
      </c>
      <c r="K4" s="49">
        <v>1.5</v>
      </c>
      <c r="L4" s="49">
        <f>14.15+14.15+1.9+1.9</f>
        <v>32.1</v>
      </c>
      <c r="M4" s="46">
        <f t="shared" ref="M4:M9" si="0">L4*K4</f>
        <v>48.150000000000006</v>
      </c>
      <c r="N4" s="49">
        <f>14.15*1.9</f>
        <v>26.884999999999998</v>
      </c>
      <c r="O4" s="50">
        <v>1</v>
      </c>
      <c r="P4" s="46">
        <f t="shared" ref="P4:P55" si="1">(M4+N4)*O4</f>
        <v>75.034999999999997</v>
      </c>
      <c r="Q4" s="43">
        <v>46216</v>
      </c>
      <c r="R4" s="43">
        <f>Q4+14</f>
        <v>46230</v>
      </c>
    </row>
    <row r="5" spans="2:18" x14ac:dyDescent="0.25">
      <c r="B5" s="47" t="s">
        <v>36</v>
      </c>
      <c r="C5" s="47" t="s">
        <v>37</v>
      </c>
      <c r="D5" s="47" t="s">
        <v>38</v>
      </c>
      <c r="E5" s="47" t="s">
        <v>145</v>
      </c>
      <c r="F5" s="47" t="s">
        <v>14</v>
      </c>
      <c r="G5" s="47" t="s">
        <v>20</v>
      </c>
      <c r="H5" s="47" t="str">
        <f>VLOOKUP(G5,DADOS!$B$22:$C$30,2,TRUE)</f>
        <v>Argamassa polimérica para impermeabilização + Membrana de polímero acrílico com cimento e fibras sintéticas</v>
      </c>
      <c r="I5" s="48" t="s">
        <v>16</v>
      </c>
      <c r="J5" s="48" t="s">
        <v>17</v>
      </c>
      <c r="K5" s="49">
        <v>1.5</v>
      </c>
      <c r="L5" s="49">
        <f>14.15+14.15+1.9+1.9</f>
        <v>32.1</v>
      </c>
      <c r="M5" s="46">
        <f t="shared" si="0"/>
        <v>48.150000000000006</v>
      </c>
      <c r="N5" s="49">
        <f>14.15*1.9</f>
        <v>26.884999999999998</v>
      </c>
      <c r="O5" s="50">
        <v>1</v>
      </c>
      <c r="P5" s="46">
        <f t="shared" si="1"/>
        <v>75.034999999999997</v>
      </c>
      <c r="Q5" s="43">
        <v>46216</v>
      </c>
      <c r="R5" s="43">
        <f>Q5+14</f>
        <v>46230</v>
      </c>
    </row>
    <row r="6" spans="2:18" x14ac:dyDescent="0.25">
      <c r="B6" s="47" t="s">
        <v>36</v>
      </c>
      <c r="C6" s="47" t="s">
        <v>37</v>
      </c>
      <c r="D6" s="47" t="s">
        <v>38</v>
      </c>
      <c r="E6" s="47" t="s">
        <v>146</v>
      </c>
      <c r="F6" s="47" t="s">
        <v>14</v>
      </c>
      <c r="G6" s="47" t="s">
        <v>20</v>
      </c>
      <c r="H6" s="47" t="str">
        <f>VLOOKUP(G6,DADOS!$B$22:$C$30,2,TRUE)</f>
        <v>Argamassa polimérica para impermeabilização + Membrana de polímero acrílico com cimento e fibras sintéticas</v>
      </c>
      <c r="I6" s="48" t="s">
        <v>16</v>
      </c>
      <c r="J6" s="48" t="s">
        <v>17</v>
      </c>
      <c r="K6" s="49">
        <v>1.2</v>
      </c>
      <c r="L6" s="49">
        <f>3.4+3.4+2.8+2.8</f>
        <v>12.399999999999999</v>
      </c>
      <c r="M6" s="46">
        <f t="shared" si="0"/>
        <v>14.879999999999997</v>
      </c>
      <c r="N6" s="49">
        <f>3.4*2.8</f>
        <v>9.52</v>
      </c>
      <c r="O6" s="50">
        <v>1</v>
      </c>
      <c r="P6" s="46">
        <f t="shared" si="1"/>
        <v>24.4</v>
      </c>
      <c r="Q6" s="43">
        <v>46216</v>
      </c>
      <c r="R6" s="43">
        <f>Q6+14</f>
        <v>46230</v>
      </c>
    </row>
    <row r="7" spans="2:18" x14ac:dyDescent="0.25">
      <c r="B7" s="47" t="s">
        <v>36</v>
      </c>
      <c r="C7" s="47" t="s">
        <v>37</v>
      </c>
      <c r="D7" s="47" t="s">
        <v>38</v>
      </c>
      <c r="E7" s="47" t="s">
        <v>147</v>
      </c>
      <c r="F7" s="47" t="s">
        <v>14</v>
      </c>
      <c r="G7" s="47" t="s">
        <v>20</v>
      </c>
      <c r="H7" s="47" t="str">
        <f>VLOOKUP(G7,DADOS!$B$22:$C$30,2,TRUE)</f>
        <v>Argamassa polimérica para impermeabilização + Membrana de polímero acrílico com cimento e fibras sintéticas</v>
      </c>
      <c r="I7" s="48" t="s">
        <v>16</v>
      </c>
      <c r="J7" s="48" t="s">
        <v>17</v>
      </c>
      <c r="K7" s="49">
        <v>1.2</v>
      </c>
      <c r="L7" s="49">
        <f>3.4+3.4+2.8+2.8</f>
        <v>12.399999999999999</v>
      </c>
      <c r="M7" s="46">
        <f t="shared" si="0"/>
        <v>14.879999999999997</v>
      </c>
      <c r="N7" s="49">
        <f>3.4*2.8</f>
        <v>9.52</v>
      </c>
      <c r="O7" s="50">
        <v>1</v>
      </c>
      <c r="P7" s="46">
        <f t="shared" si="1"/>
        <v>24.4</v>
      </c>
      <c r="Q7" s="43">
        <v>46216</v>
      </c>
      <c r="R7" s="43">
        <f t="shared" ref="R7:R12" si="2">Q7+14</f>
        <v>46230</v>
      </c>
    </row>
    <row r="8" spans="2:18" x14ac:dyDescent="0.25">
      <c r="B8" s="47" t="s">
        <v>36</v>
      </c>
      <c r="C8" s="47" t="s">
        <v>37</v>
      </c>
      <c r="D8" s="47" t="s">
        <v>38</v>
      </c>
      <c r="E8" s="47" t="s">
        <v>148</v>
      </c>
      <c r="F8" s="47" t="s">
        <v>14</v>
      </c>
      <c r="G8" s="47" t="s">
        <v>20</v>
      </c>
      <c r="H8" s="47" t="str">
        <f>VLOOKUP(G8,DADOS!$B$22:$C$30,2,TRUE)</f>
        <v>Argamassa polimérica para impermeabilização + Membrana de polímero acrílico com cimento e fibras sintéticas</v>
      </c>
      <c r="I8" s="48" t="s">
        <v>16</v>
      </c>
      <c r="J8" s="48" t="s">
        <v>17</v>
      </c>
      <c r="K8" s="49">
        <v>1.2</v>
      </c>
      <c r="L8" s="49">
        <f>3.4+3.4+2.8+2.8</f>
        <v>12.399999999999999</v>
      </c>
      <c r="M8" s="46">
        <f t="shared" si="0"/>
        <v>14.879999999999997</v>
      </c>
      <c r="N8" s="49">
        <f>3.4*2.8</f>
        <v>9.52</v>
      </c>
      <c r="O8" s="50">
        <v>1</v>
      </c>
      <c r="P8" s="46">
        <f t="shared" si="1"/>
        <v>24.4</v>
      </c>
      <c r="Q8" s="43">
        <v>46216</v>
      </c>
      <c r="R8" s="43">
        <f t="shared" si="2"/>
        <v>46230</v>
      </c>
    </row>
    <row r="9" spans="2:18" x14ac:dyDescent="0.25">
      <c r="B9" s="47" t="s">
        <v>36</v>
      </c>
      <c r="C9" s="47" t="s">
        <v>37</v>
      </c>
      <c r="D9" s="47" t="s">
        <v>38</v>
      </c>
      <c r="E9" s="47" t="s">
        <v>149</v>
      </c>
      <c r="F9" s="47" t="s">
        <v>14</v>
      </c>
      <c r="G9" s="47" t="s">
        <v>20</v>
      </c>
      <c r="H9" s="47" t="str">
        <f>VLOOKUP(G9,DADOS!$B$22:$C$30,2,TRUE)</f>
        <v>Argamassa polimérica para impermeabilização + Membrana de polímero acrílico com cimento e fibras sintéticas</v>
      </c>
      <c r="I9" s="48" t="s">
        <v>16</v>
      </c>
      <c r="J9" s="48" t="s">
        <v>17</v>
      </c>
      <c r="K9" s="49">
        <v>1.2</v>
      </c>
      <c r="L9" s="49">
        <f>3.4+3.4+2.8+2.8</f>
        <v>12.399999999999999</v>
      </c>
      <c r="M9" s="46">
        <f t="shared" si="0"/>
        <v>14.879999999999997</v>
      </c>
      <c r="N9" s="49">
        <f>3.4*2.8</f>
        <v>9.52</v>
      </c>
      <c r="O9" s="50">
        <v>1</v>
      </c>
      <c r="P9" s="46">
        <f t="shared" si="1"/>
        <v>24.4</v>
      </c>
      <c r="Q9" s="43">
        <v>46216</v>
      </c>
      <c r="R9" s="43">
        <f t="shared" si="2"/>
        <v>46230</v>
      </c>
    </row>
    <row r="10" spans="2:18" x14ac:dyDescent="0.25">
      <c r="B10" s="47" t="s">
        <v>36</v>
      </c>
      <c r="C10" s="47" t="s">
        <v>140</v>
      </c>
      <c r="D10" s="47" t="s">
        <v>38</v>
      </c>
      <c r="E10" s="47" t="s">
        <v>150</v>
      </c>
      <c r="F10" s="47" t="s">
        <v>14</v>
      </c>
      <c r="G10" s="47" t="s">
        <v>20</v>
      </c>
      <c r="H10" s="47" t="str">
        <f>VLOOKUP(G10,DADOS!$B$22:$C$30,2,TRUE)</f>
        <v>Argamassa polimérica para impermeabilização + Membrana de polímero acrílico com cimento e fibras sintéticas</v>
      </c>
      <c r="I10" s="48" t="s">
        <v>16</v>
      </c>
      <c r="J10" s="48" t="s">
        <v>17</v>
      </c>
      <c r="K10" s="49">
        <v>2.75</v>
      </c>
      <c r="L10" s="49">
        <v>54.587299999999999</v>
      </c>
      <c r="M10" s="46">
        <v>150.11507499999999</v>
      </c>
      <c r="N10" s="49">
        <v>72.405199999999994</v>
      </c>
      <c r="O10" s="50">
        <v>1</v>
      </c>
      <c r="P10" s="46">
        <f t="shared" si="1"/>
        <v>222.52027499999997</v>
      </c>
      <c r="Q10" s="43">
        <v>46216</v>
      </c>
      <c r="R10" s="43">
        <f t="shared" si="2"/>
        <v>46230</v>
      </c>
    </row>
    <row r="11" spans="2:18" x14ac:dyDescent="0.25">
      <c r="B11" s="47" t="s">
        <v>36</v>
      </c>
      <c r="C11" s="47" t="s">
        <v>140</v>
      </c>
      <c r="D11" s="47" t="s">
        <v>38</v>
      </c>
      <c r="E11" s="47" t="s">
        <v>151</v>
      </c>
      <c r="F11" s="47" t="s">
        <v>14</v>
      </c>
      <c r="G11" s="47" t="s">
        <v>142</v>
      </c>
      <c r="H11" s="47" t="str">
        <f>VLOOKUP(G11,DADOS!$B$22:$C$30,2,TRUE)</f>
        <v>Membrana impermeabilizante à base de epóxi poliamida</v>
      </c>
      <c r="I11" s="48" t="s">
        <v>16</v>
      </c>
      <c r="J11" s="48" t="s">
        <v>17</v>
      </c>
      <c r="K11" s="49">
        <v>0</v>
      </c>
      <c r="L11" s="49">
        <v>0</v>
      </c>
      <c r="M11" s="46">
        <v>0</v>
      </c>
      <c r="N11" s="49">
        <v>72.405199999999994</v>
      </c>
      <c r="O11" s="50">
        <v>1</v>
      </c>
      <c r="P11" s="46">
        <f t="shared" si="1"/>
        <v>72.405199999999994</v>
      </c>
      <c r="Q11" s="43">
        <v>46216</v>
      </c>
      <c r="R11" s="43">
        <f t="shared" si="2"/>
        <v>46230</v>
      </c>
    </row>
    <row r="12" spans="2:18" x14ac:dyDescent="0.25">
      <c r="B12" s="47" t="s">
        <v>36</v>
      </c>
      <c r="C12" s="47" t="s">
        <v>139</v>
      </c>
      <c r="D12" s="47" t="s">
        <v>44</v>
      </c>
      <c r="E12" s="47" t="s">
        <v>110</v>
      </c>
      <c r="F12" s="47" t="s">
        <v>13</v>
      </c>
      <c r="G12" s="47" t="s">
        <v>42</v>
      </c>
      <c r="H12" s="47" t="str">
        <f>VLOOKUP(G12,DADOS!$B$22:$C$30,2,TRUE)</f>
        <v>Manta asfáltica 4mm aderida com asfalto oxidado modificado</v>
      </c>
      <c r="I12" s="48" t="s">
        <v>16</v>
      </c>
      <c r="J12" s="48" t="s">
        <v>16</v>
      </c>
      <c r="K12" s="49">
        <v>0.3</v>
      </c>
      <c r="L12" s="49">
        <v>19.274999999999999</v>
      </c>
      <c r="M12" s="46">
        <v>5.7824999999999998</v>
      </c>
      <c r="N12" s="49">
        <v>14.5937</v>
      </c>
      <c r="O12" s="50">
        <v>1</v>
      </c>
      <c r="P12" s="46">
        <f t="shared" si="1"/>
        <v>20.376200000000001</v>
      </c>
      <c r="Q12" s="43">
        <v>46252</v>
      </c>
      <c r="R12" s="43">
        <f t="shared" si="2"/>
        <v>46266</v>
      </c>
    </row>
    <row r="13" spans="2:18" x14ac:dyDescent="0.25">
      <c r="B13" s="47" t="s">
        <v>36</v>
      </c>
      <c r="C13" s="47" t="s">
        <v>139</v>
      </c>
      <c r="D13" s="47" t="s">
        <v>45</v>
      </c>
      <c r="E13" s="47" t="s">
        <v>110</v>
      </c>
      <c r="F13" s="47" t="s">
        <v>13</v>
      </c>
      <c r="G13" s="47" t="s">
        <v>42</v>
      </c>
      <c r="H13" s="47" t="str">
        <f>VLOOKUP(G13,DADOS!$B$22:$C$30,2,TRUE)</f>
        <v>Manta asfáltica 4mm aderida com asfalto oxidado modificado</v>
      </c>
      <c r="I13" s="48" t="s">
        <v>16</v>
      </c>
      <c r="J13" s="48" t="s">
        <v>16</v>
      </c>
      <c r="K13" s="49">
        <v>0.3</v>
      </c>
      <c r="L13" s="49">
        <v>19.836099999999998</v>
      </c>
      <c r="M13" s="46">
        <v>5.950829999999999</v>
      </c>
      <c r="N13" s="49">
        <v>14.815300000000001</v>
      </c>
      <c r="O13" s="50">
        <v>1</v>
      </c>
      <c r="P13" s="46">
        <f t="shared" si="1"/>
        <v>20.76613</v>
      </c>
      <c r="Q13" s="43">
        <v>46252</v>
      </c>
      <c r="R13" s="43">
        <f>Q13+14</f>
        <v>46266</v>
      </c>
    </row>
    <row r="14" spans="2:18" x14ac:dyDescent="0.25">
      <c r="B14" s="47" t="s">
        <v>36</v>
      </c>
      <c r="C14" s="47" t="s">
        <v>139</v>
      </c>
      <c r="D14" s="47" t="s">
        <v>46</v>
      </c>
      <c r="E14" s="47" t="s">
        <v>110</v>
      </c>
      <c r="F14" s="47" t="s">
        <v>13</v>
      </c>
      <c r="G14" s="47" t="s">
        <v>42</v>
      </c>
      <c r="H14" s="47" t="str">
        <f>VLOOKUP(G14,DADOS!$B$22:$C$30,2,TRUE)</f>
        <v>Manta asfáltica 4mm aderida com asfalto oxidado modificado</v>
      </c>
      <c r="I14" s="48" t="s">
        <v>16</v>
      </c>
      <c r="J14" s="48" t="s">
        <v>16</v>
      </c>
      <c r="K14" s="49">
        <v>0.3</v>
      </c>
      <c r="L14" s="49">
        <v>19.836099999999998</v>
      </c>
      <c r="M14" s="46">
        <v>5.950829999999999</v>
      </c>
      <c r="N14" s="49">
        <v>14.815300000000001</v>
      </c>
      <c r="O14" s="50">
        <v>1</v>
      </c>
      <c r="P14" s="46">
        <f t="shared" si="1"/>
        <v>20.76613</v>
      </c>
      <c r="Q14" s="43">
        <v>46252</v>
      </c>
      <c r="R14" s="43">
        <f t="shared" ref="R14:R25" si="3">Q14+14</f>
        <v>46266</v>
      </c>
    </row>
    <row r="15" spans="2:18" x14ac:dyDescent="0.25">
      <c r="B15" s="47" t="s">
        <v>36</v>
      </c>
      <c r="C15" s="47" t="s">
        <v>139</v>
      </c>
      <c r="D15" s="47" t="s">
        <v>47</v>
      </c>
      <c r="E15" s="47" t="s">
        <v>110</v>
      </c>
      <c r="F15" s="47" t="s">
        <v>13</v>
      </c>
      <c r="G15" s="47" t="s">
        <v>42</v>
      </c>
      <c r="H15" s="47" t="str">
        <f>VLOOKUP(G15,DADOS!$B$22:$C$30,2,TRUE)</f>
        <v>Manta asfáltica 4mm aderida com asfalto oxidado modificado</v>
      </c>
      <c r="I15" s="48" t="s">
        <v>16</v>
      </c>
      <c r="J15" s="48" t="s">
        <v>16</v>
      </c>
      <c r="K15" s="49">
        <v>0.3</v>
      </c>
      <c r="L15" s="49">
        <v>19.87</v>
      </c>
      <c r="M15" s="46">
        <v>5.9610000000000003</v>
      </c>
      <c r="N15" s="49">
        <v>14.96</v>
      </c>
      <c r="O15" s="50">
        <v>1</v>
      </c>
      <c r="P15" s="46">
        <f t="shared" si="1"/>
        <v>20.920999999999999</v>
      </c>
      <c r="Q15" s="43">
        <v>46252</v>
      </c>
      <c r="R15" s="43">
        <f t="shared" si="3"/>
        <v>46266</v>
      </c>
    </row>
    <row r="16" spans="2:18" x14ac:dyDescent="0.25">
      <c r="B16" s="47" t="s">
        <v>36</v>
      </c>
      <c r="C16" s="47" t="s">
        <v>139</v>
      </c>
      <c r="D16" s="47" t="s">
        <v>48</v>
      </c>
      <c r="E16" s="47" t="s">
        <v>110</v>
      </c>
      <c r="F16" s="47" t="s">
        <v>13</v>
      </c>
      <c r="G16" s="47" t="s">
        <v>42</v>
      </c>
      <c r="H16" s="47" t="str">
        <f>VLOOKUP(G16,DADOS!$B$22:$C$30,2,TRUE)</f>
        <v>Manta asfáltica 4mm aderida com asfalto oxidado modificado</v>
      </c>
      <c r="I16" s="48" t="s">
        <v>16</v>
      </c>
      <c r="J16" s="48" t="s">
        <v>16</v>
      </c>
      <c r="K16" s="49">
        <v>0.3</v>
      </c>
      <c r="L16" s="49">
        <v>19.866</v>
      </c>
      <c r="M16" s="46">
        <v>5.9597999999999995</v>
      </c>
      <c r="N16" s="49">
        <v>14.963100000000001</v>
      </c>
      <c r="O16" s="50">
        <v>1</v>
      </c>
      <c r="P16" s="46">
        <f t="shared" si="1"/>
        <v>20.922899999999998</v>
      </c>
      <c r="Q16" s="43">
        <v>46252</v>
      </c>
      <c r="R16" s="43">
        <f t="shared" si="3"/>
        <v>46266</v>
      </c>
    </row>
    <row r="17" spans="2:18" x14ac:dyDescent="0.25">
      <c r="B17" s="47" t="s">
        <v>36</v>
      </c>
      <c r="C17" s="47" t="s">
        <v>139</v>
      </c>
      <c r="D17" s="47" t="s">
        <v>49</v>
      </c>
      <c r="E17" s="47" t="s">
        <v>110</v>
      </c>
      <c r="F17" s="47" t="s">
        <v>13</v>
      </c>
      <c r="G17" s="47" t="s">
        <v>42</v>
      </c>
      <c r="H17" s="47" t="str">
        <f>VLOOKUP(G17,DADOS!$B$22:$C$30,2,TRUE)</f>
        <v>Manta asfáltica 4mm aderida com asfalto oxidado modificado</v>
      </c>
      <c r="I17" s="48" t="s">
        <v>16</v>
      </c>
      <c r="J17" s="48" t="s">
        <v>16</v>
      </c>
      <c r="K17" s="49">
        <v>0.3</v>
      </c>
      <c r="L17" s="49">
        <v>20.067399999999999</v>
      </c>
      <c r="M17" s="46">
        <v>6.0202199999999992</v>
      </c>
      <c r="N17" s="49">
        <v>13.251300000000001</v>
      </c>
      <c r="O17" s="50">
        <v>1</v>
      </c>
      <c r="P17" s="46">
        <f t="shared" si="1"/>
        <v>19.271519999999999</v>
      </c>
      <c r="Q17" s="43">
        <v>46252</v>
      </c>
      <c r="R17" s="43">
        <f t="shared" si="3"/>
        <v>46266</v>
      </c>
    </row>
    <row r="18" spans="2:18" x14ac:dyDescent="0.25">
      <c r="B18" s="47" t="s">
        <v>36</v>
      </c>
      <c r="C18" s="47" t="s">
        <v>139</v>
      </c>
      <c r="D18" s="47" t="s">
        <v>47</v>
      </c>
      <c r="E18" s="47" t="s">
        <v>110</v>
      </c>
      <c r="F18" s="47" t="s">
        <v>13</v>
      </c>
      <c r="G18" s="47" t="s">
        <v>42</v>
      </c>
      <c r="H18" s="47" t="str">
        <f>VLOOKUP(G18,DADOS!$B$22:$C$30,2,TRUE)</f>
        <v>Manta asfáltica 4mm aderida com asfalto oxidado modificado</v>
      </c>
      <c r="I18" s="48" t="s">
        <v>16</v>
      </c>
      <c r="J18" s="48" t="s">
        <v>16</v>
      </c>
      <c r="K18" s="49">
        <v>0.3</v>
      </c>
      <c r="L18" s="49">
        <v>20.225000000000001</v>
      </c>
      <c r="M18" s="46">
        <v>6.0674999999999999</v>
      </c>
      <c r="N18" s="49">
        <v>13.413399999999999</v>
      </c>
      <c r="O18" s="50">
        <v>1</v>
      </c>
      <c r="P18" s="46">
        <f t="shared" si="1"/>
        <v>19.480899999999998</v>
      </c>
      <c r="Q18" s="43">
        <v>46252</v>
      </c>
      <c r="R18" s="43">
        <f t="shared" si="3"/>
        <v>46266</v>
      </c>
    </row>
    <row r="19" spans="2:18" x14ac:dyDescent="0.25">
      <c r="B19" s="47" t="s">
        <v>36</v>
      </c>
      <c r="C19" s="47" t="s">
        <v>139</v>
      </c>
      <c r="D19" s="47" t="s">
        <v>48</v>
      </c>
      <c r="E19" s="47" t="s">
        <v>110</v>
      </c>
      <c r="F19" s="47" t="s">
        <v>13</v>
      </c>
      <c r="G19" s="47" t="s">
        <v>42</v>
      </c>
      <c r="H19" s="47" t="str">
        <f>VLOOKUP(G19,DADOS!$B$22:$C$30,2,TRUE)</f>
        <v>Manta asfáltica 4mm aderida com asfalto oxidado modificado</v>
      </c>
      <c r="I19" s="48" t="s">
        <v>16</v>
      </c>
      <c r="J19" s="48" t="s">
        <v>16</v>
      </c>
      <c r="K19" s="49">
        <v>0.3</v>
      </c>
      <c r="L19" s="49">
        <v>19.817599999999999</v>
      </c>
      <c r="M19" s="46">
        <v>5.9452799999999995</v>
      </c>
      <c r="N19" s="49">
        <v>14.977600000000001</v>
      </c>
      <c r="O19" s="50">
        <v>1</v>
      </c>
      <c r="P19" s="46">
        <f t="shared" si="1"/>
        <v>20.922879999999999</v>
      </c>
      <c r="Q19" s="43">
        <v>46252</v>
      </c>
      <c r="R19" s="43">
        <f t="shared" si="3"/>
        <v>46266</v>
      </c>
    </row>
    <row r="20" spans="2:18" x14ac:dyDescent="0.25">
      <c r="B20" s="47" t="s">
        <v>36</v>
      </c>
      <c r="C20" s="47" t="s">
        <v>139</v>
      </c>
      <c r="D20" s="47" t="s">
        <v>49</v>
      </c>
      <c r="E20" s="47" t="s">
        <v>110</v>
      </c>
      <c r="F20" s="47" t="s">
        <v>13</v>
      </c>
      <c r="G20" s="47" t="s">
        <v>42</v>
      </c>
      <c r="H20" s="47" t="str">
        <f>VLOOKUP(G20,DADOS!$B$22:$C$30,2,TRUE)</f>
        <v>Manta asfáltica 4mm aderida com asfalto oxidado modificado</v>
      </c>
      <c r="I20" s="48" t="s">
        <v>16</v>
      </c>
      <c r="J20" s="48" t="s">
        <v>16</v>
      </c>
      <c r="K20" s="49">
        <v>0.3</v>
      </c>
      <c r="L20" s="49">
        <v>19.837599999999998</v>
      </c>
      <c r="M20" s="46">
        <v>5.9512799999999997</v>
      </c>
      <c r="N20" s="49">
        <v>14.977</v>
      </c>
      <c r="O20" s="50">
        <v>1</v>
      </c>
      <c r="P20" s="46">
        <f t="shared" si="1"/>
        <v>20.928280000000001</v>
      </c>
      <c r="Q20" s="43">
        <v>46252</v>
      </c>
      <c r="R20" s="43">
        <f t="shared" si="3"/>
        <v>46266</v>
      </c>
    </row>
    <row r="21" spans="2:18" x14ac:dyDescent="0.25">
      <c r="B21" s="47" t="s">
        <v>36</v>
      </c>
      <c r="C21" s="47" t="s">
        <v>139</v>
      </c>
      <c r="D21" s="47" t="s">
        <v>50</v>
      </c>
      <c r="E21" s="47" t="s">
        <v>110</v>
      </c>
      <c r="F21" s="47" t="s">
        <v>13</v>
      </c>
      <c r="G21" s="47" t="s">
        <v>42</v>
      </c>
      <c r="H21" s="47" t="str">
        <f>VLOOKUP(G21,DADOS!$B$22:$C$30,2,TRUE)</f>
        <v>Manta asfáltica 4mm aderida com asfalto oxidado modificado</v>
      </c>
      <c r="I21" s="48" t="s">
        <v>16</v>
      </c>
      <c r="J21" s="48" t="s">
        <v>16</v>
      </c>
      <c r="K21" s="49">
        <v>0.3</v>
      </c>
      <c r="L21" s="49">
        <v>19.807600000000001</v>
      </c>
      <c r="M21" s="46">
        <v>5.9422800000000002</v>
      </c>
      <c r="N21" s="49">
        <v>14.9421</v>
      </c>
      <c r="O21" s="50">
        <v>1</v>
      </c>
      <c r="P21" s="46">
        <f t="shared" si="1"/>
        <v>20.88438</v>
      </c>
      <c r="Q21" s="43">
        <v>46252</v>
      </c>
      <c r="R21" s="43">
        <f t="shared" si="3"/>
        <v>46266</v>
      </c>
    </row>
    <row r="22" spans="2:18" x14ac:dyDescent="0.25">
      <c r="B22" s="47" t="s">
        <v>36</v>
      </c>
      <c r="C22" s="47" t="s">
        <v>139</v>
      </c>
      <c r="D22" s="47" t="s">
        <v>51</v>
      </c>
      <c r="E22" s="47" t="s">
        <v>110</v>
      </c>
      <c r="F22" s="47" t="s">
        <v>13</v>
      </c>
      <c r="G22" s="47" t="s">
        <v>42</v>
      </c>
      <c r="H22" s="47" t="str">
        <f>VLOOKUP(G22,DADOS!$B$22:$C$30,2,TRUE)</f>
        <v>Manta asfáltica 4mm aderida com asfalto oxidado modificado</v>
      </c>
      <c r="I22" s="48" t="s">
        <v>16</v>
      </c>
      <c r="J22" s="48" t="s">
        <v>16</v>
      </c>
      <c r="K22" s="49">
        <v>0.3</v>
      </c>
      <c r="L22" s="49">
        <v>21.112200000000001</v>
      </c>
      <c r="M22" s="46">
        <v>6.3336600000000001</v>
      </c>
      <c r="N22" s="49">
        <v>16.32</v>
      </c>
      <c r="O22" s="50">
        <v>1</v>
      </c>
      <c r="P22" s="46">
        <f t="shared" si="1"/>
        <v>22.653660000000002</v>
      </c>
      <c r="Q22" s="43">
        <v>46252</v>
      </c>
      <c r="R22" s="43">
        <f t="shared" si="3"/>
        <v>46266</v>
      </c>
    </row>
    <row r="23" spans="2:18" x14ac:dyDescent="0.25">
      <c r="B23" s="47" t="s">
        <v>36</v>
      </c>
      <c r="C23" s="47" t="s">
        <v>139</v>
      </c>
      <c r="D23" s="47" t="s">
        <v>52</v>
      </c>
      <c r="E23" s="47" t="s">
        <v>110</v>
      </c>
      <c r="F23" s="47" t="s">
        <v>13</v>
      </c>
      <c r="G23" s="47" t="s">
        <v>42</v>
      </c>
      <c r="H23" s="47" t="str">
        <f>VLOOKUP(G23,DADOS!$B$22:$C$30,2,TRUE)</f>
        <v>Manta asfáltica 4mm aderida com asfalto oxidado modificado</v>
      </c>
      <c r="I23" s="48" t="s">
        <v>16</v>
      </c>
      <c r="J23" s="48" t="s">
        <v>16</v>
      </c>
      <c r="K23" s="49">
        <v>0.3</v>
      </c>
      <c r="L23" s="49">
        <v>19.845300000000002</v>
      </c>
      <c r="M23" s="46">
        <v>5.9535900000000002</v>
      </c>
      <c r="N23" s="49">
        <v>14.829000000000001</v>
      </c>
      <c r="O23" s="50">
        <v>1</v>
      </c>
      <c r="P23" s="46">
        <f t="shared" si="1"/>
        <v>20.782589999999999</v>
      </c>
      <c r="Q23" s="43">
        <v>46252</v>
      </c>
      <c r="R23" s="43">
        <f t="shared" si="3"/>
        <v>46266</v>
      </c>
    </row>
    <row r="24" spans="2:18" x14ac:dyDescent="0.25">
      <c r="B24" s="47" t="s">
        <v>36</v>
      </c>
      <c r="C24" s="47" t="s">
        <v>139</v>
      </c>
      <c r="D24" s="47" t="s">
        <v>53</v>
      </c>
      <c r="E24" s="47" t="s">
        <v>110</v>
      </c>
      <c r="F24" s="47" t="s">
        <v>13</v>
      </c>
      <c r="G24" s="47" t="s">
        <v>42</v>
      </c>
      <c r="H24" s="47" t="str">
        <f>VLOOKUP(G24,DADOS!$B$22:$C$30,2,TRUE)</f>
        <v>Manta asfáltica 4mm aderida com asfalto oxidado modificado</v>
      </c>
      <c r="I24" s="48" t="s">
        <v>16</v>
      </c>
      <c r="J24" s="48" t="s">
        <v>16</v>
      </c>
      <c r="K24" s="49">
        <v>0.3</v>
      </c>
      <c r="L24" s="49">
        <v>19.845300000000002</v>
      </c>
      <c r="M24" s="46">
        <v>5.9535900000000002</v>
      </c>
      <c r="N24" s="49">
        <v>14.829000000000001</v>
      </c>
      <c r="O24" s="50">
        <v>1</v>
      </c>
      <c r="P24" s="46">
        <f t="shared" si="1"/>
        <v>20.782589999999999</v>
      </c>
      <c r="Q24" s="43">
        <v>46252</v>
      </c>
      <c r="R24" s="43">
        <f t="shared" si="3"/>
        <v>46266</v>
      </c>
    </row>
    <row r="25" spans="2:18" x14ac:dyDescent="0.25">
      <c r="B25" s="47" t="s">
        <v>36</v>
      </c>
      <c r="C25" s="47" t="s">
        <v>139</v>
      </c>
      <c r="D25" s="47" t="s">
        <v>54</v>
      </c>
      <c r="E25" s="47" t="s">
        <v>110</v>
      </c>
      <c r="F25" s="47" t="s">
        <v>13</v>
      </c>
      <c r="G25" s="47" t="s">
        <v>42</v>
      </c>
      <c r="H25" s="47" t="str">
        <f>VLOOKUP(G25,DADOS!$B$22:$C$30,2,TRUE)</f>
        <v>Manta asfáltica 4mm aderida com asfalto oxidado modificado</v>
      </c>
      <c r="I25" s="48" t="s">
        <v>16</v>
      </c>
      <c r="J25" s="48" t="s">
        <v>16</v>
      </c>
      <c r="K25" s="49">
        <v>0.3</v>
      </c>
      <c r="L25" s="49">
        <v>20.315000000000001</v>
      </c>
      <c r="M25" s="46">
        <v>6.0945</v>
      </c>
      <c r="N25" s="49">
        <v>13.4384</v>
      </c>
      <c r="O25" s="50">
        <v>1</v>
      </c>
      <c r="P25" s="46">
        <f t="shared" si="1"/>
        <v>19.532899999999998</v>
      </c>
      <c r="Q25" s="43">
        <v>46252</v>
      </c>
      <c r="R25" s="43">
        <f t="shared" si="3"/>
        <v>46266</v>
      </c>
    </row>
    <row r="26" spans="2:18" x14ac:dyDescent="0.25">
      <c r="B26" s="47" t="s">
        <v>36</v>
      </c>
      <c r="C26" s="47" t="s">
        <v>139</v>
      </c>
      <c r="D26" s="47" t="s">
        <v>113</v>
      </c>
      <c r="E26" s="47" t="s">
        <v>114</v>
      </c>
      <c r="F26" s="47" t="s">
        <v>13</v>
      </c>
      <c r="G26" s="47" t="s">
        <v>41</v>
      </c>
      <c r="H26" s="47" t="str">
        <f>VLOOKUP(G26,DADOS!$B$22:$C$30,2,TRUE)</f>
        <v>Manta asfáltica 4mm aderida com asfalto oxidado modificado + Emulsão asfáltica antiraiz</v>
      </c>
      <c r="I26" s="48" t="s">
        <v>16</v>
      </c>
      <c r="J26" s="48" t="s">
        <v>16</v>
      </c>
      <c r="K26" s="49">
        <v>0.5</v>
      </c>
      <c r="L26" s="49">
        <v>13.9886</v>
      </c>
      <c r="M26" s="46">
        <v>6.9943</v>
      </c>
      <c r="N26" s="49">
        <v>8.9885999999999999</v>
      </c>
      <c r="O26" s="50">
        <v>1</v>
      </c>
      <c r="P26" s="46">
        <f t="shared" si="1"/>
        <v>15.982900000000001</v>
      </c>
      <c r="Q26" s="43">
        <v>46281</v>
      </c>
      <c r="R26" s="43">
        <f>Q26+30</f>
        <v>46311</v>
      </c>
    </row>
    <row r="27" spans="2:18" x14ac:dyDescent="0.25">
      <c r="B27" s="47" t="s">
        <v>36</v>
      </c>
      <c r="C27" s="47" t="s">
        <v>139</v>
      </c>
      <c r="D27" s="47" t="s">
        <v>113</v>
      </c>
      <c r="E27" s="47" t="s">
        <v>114</v>
      </c>
      <c r="F27" s="47" t="s">
        <v>13</v>
      </c>
      <c r="G27" s="47" t="s">
        <v>41</v>
      </c>
      <c r="H27" s="47" t="str">
        <f>VLOOKUP(G27,DADOS!$B$22:$C$30,2,TRUE)</f>
        <v>Manta asfáltica 4mm aderida com asfalto oxidado modificado + Emulsão asfáltica antiraiz</v>
      </c>
      <c r="I27" s="48" t="s">
        <v>16</v>
      </c>
      <c r="J27" s="48" t="s">
        <v>16</v>
      </c>
      <c r="K27" s="49">
        <v>0.5</v>
      </c>
      <c r="L27" s="49">
        <v>39.986800000000002</v>
      </c>
      <c r="M27" s="46">
        <v>19.993400000000001</v>
      </c>
      <c r="N27" s="49">
        <v>11.474299999999999</v>
      </c>
      <c r="O27" s="50">
        <v>1</v>
      </c>
      <c r="P27" s="46">
        <f t="shared" si="1"/>
        <v>31.467700000000001</v>
      </c>
      <c r="Q27" s="43">
        <v>46281</v>
      </c>
      <c r="R27" s="43">
        <f t="shared" ref="R27:R55" si="4">Q27+30</f>
        <v>46311</v>
      </c>
    </row>
    <row r="28" spans="2:18" x14ac:dyDescent="0.25">
      <c r="B28" s="47" t="s">
        <v>36</v>
      </c>
      <c r="C28" s="47" t="s">
        <v>139</v>
      </c>
      <c r="D28" s="47" t="s">
        <v>113</v>
      </c>
      <c r="E28" s="47" t="s">
        <v>114</v>
      </c>
      <c r="F28" s="47" t="s">
        <v>13</v>
      </c>
      <c r="G28" s="47" t="s">
        <v>41</v>
      </c>
      <c r="H28" s="47" t="str">
        <f>VLOOKUP(G28,DADOS!$B$22:$C$30,2,TRUE)</f>
        <v>Manta asfáltica 4mm aderida com asfalto oxidado modificado + Emulsão asfáltica antiraiz</v>
      </c>
      <c r="I28" s="48" t="s">
        <v>16</v>
      </c>
      <c r="J28" s="48" t="s">
        <v>16</v>
      </c>
      <c r="K28" s="49">
        <v>0.5</v>
      </c>
      <c r="L28" s="49">
        <v>10.5496</v>
      </c>
      <c r="M28" s="46">
        <v>5.2747999999999999</v>
      </c>
      <c r="N28" s="49">
        <v>4.9524999999999997</v>
      </c>
      <c r="O28" s="50">
        <v>1</v>
      </c>
      <c r="P28" s="46">
        <f t="shared" si="1"/>
        <v>10.2273</v>
      </c>
      <c r="Q28" s="43">
        <v>46281</v>
      </c>
      <c r="R28" s="43">
        <f t="shared" si="4"/>
        <v>46311</v>
      </c>
    </row>
    <row r="29" spans="2:18" x14ac:dyDescent="0.25">
      <c r="B29" s="47" t="s">
        <v>36</v>
      </c>
      <c r="C29" s="47" t="s">
        <v>139</v>
      </c>
      <c r="D29" s="47" t="s">
        <v>113</v>
      </c>
      <c r="E29" s="47" t="s">
        <v>114</v>
      </c>
      <c r="F29" s="47" t="s">
        <v>13</v>
      </c>
      <c r="G29" s="47" t="s">
        <v>41</v>
      </c>
      <c r="H29" s="47" t="str">
        <f>VLOOKUP(G29,DADOS!$B$22:$C$30,2,TRUE)</f>
        <v>Manta asfáltica 4mm aderida com asfalto oxidado modificado + Emulsão asfáltica antiraiz</v>
      </c>
      <c r="I29" s="48" t="s">
        <v>16</v>
      </c>
      <c r="J29" s="48" t="s">
        <v>16</v>
      </c>
      <c r="K29" s="49">
        <v>0.5</v>
      </c>
      <c r="L29" s="49">
        <v>10.228300000000001</v>
      </c>
      <c r="M29" s="46">
        <v>5.1141500000000004</v>
      </c>
      <c r="N29" s="49">
        <v>3.2378999999999998</v>
      </c>
      <c r="O29" s="50">
        <v>1</v>
      </c>
      <c r="P29" s="46">
        <f t="shared" si="1"/>
        <v>8.3520500000000002</v>
      </c>
      <c r="Q29" s="43">
        <v>46281</v>
      </c>
      <c r="R29" s="43">
        <f t="shared" si="4"/>
        <v>46311</v>
      </c>
    </row>
    <row r="30" spans="2:18" x14ac:dyDescent="0.25">
      <c r="B30" s="47" t="s">
        <v>36</v>
      </c>
      <c r="C30" s="47" t="s">
        <v>139</v>
      </c>
      <c r="D30" s="47" t="s">
        <v>113</v>
      </c>
      <c r="E30" s="47" t="s">
        <v>114</v>
      </c>
      <c r="F30" s="47" t="s">
        <v>13</v>
      </c>
      <c r="G30" s="47" t="s">
        <v>41</v>
      </c>
      <c r="H30" s="47" t="str">
        <f>VLOOKUP(G30,DADOS!$B$22:$C$30,2,TRUE)</f>
        <v>Manta asfáltica 4mm aderida com asfalto oxidado modificado + Emulsão asfáltica antiraiz</v>
      </c>
      <c r="I30" s="48" t="s">
        <v>16</v>
      </c>
      <c r="J30" s="48" t="s">
        <v>16</v>
      </c>
      <c r="K30" s="49">
        <v>0.5</v>
      </c>
      <c r="L30" s="49">
        <v>11.374700000000001</v>
      </c>
      <c r="M30" s="46">
        <v>5.6873500000000003</v>
      </c>
      <c r="N30" s="49">
        <v>3.5337999999999998</v>
      </c>
      <c r="O30" s="50">
        <v>1</v>
      </c>
      <c r="P30" s="46">
        <f t="shared" si="1"/>
        <v>9.2211499999999997</v>
      </c>
      <c r="Q30" s="43">
        <v>46281</v>
      </c>
      <c r="R30" s="43">
        <f t="shared" si="4"/>
        <v>46311</v>
      </c>
    </row>
    <row r="31" spans="2:18" x14ac:dyDescent="0.25">
      <c r="B31" s="47" t="s">
        <v>36</v>
      </c>
      <c r="C31" s="47" t="s">
        <v>139</v>
      </c>
      <c r="D31" s="47" t="s">
        <v>113</v>
      </c>
      <c r="E31" s="47" t="s">
        <v>114</v>
      </c>
      <c r="F31" s="47" t="s">
        <v>13</v>
      </c>
      <c r="G31" s="47" t="s">
        <v>41</v>
      </c>
      <c r="H31" s="47" t="str">
        <f>VLOOKUP(G31,DADOS!$B$22:$C$30,2,TRUE)</f>
        <v>Manta asfáltica 4mm aderida com asfalto oxidado modificado + Emulsão asfáltica antiraiz</v>
      </c>
      <c r="I31" s="48" t="s">
        <v>16</v>
      </c>
      <c r="J31" s="48" t="s">
        <v>16</v>
      </c>
      <c r="K31" s="49">
        <v>0.5</v>
      </c>
      <c r="L31" s="49">
        <v>13.798</v>
      </c>
      <c r="M31" s="46">
        <v>6.899</v>
      </c>
      <c r="N31" s="49">
        <v>2.4859</v>
      </c>
      <c r="O31" s="50">
        <v>1</v>
      </c>
      <c r="P31" s="46">
        <f t="shared" si="1"/>
        <v>9.3849</v>
      </c>
      <c r="Q31" s="43">
        <v>46281</v>
      </c>
      <c r="R31" s="43">
        <f t="shared" si="4"/>
        <v>46311</v>
      </c>
    </row>
    <row r="32" spans="2:18" x14ac:dyDescent="0.25">
      <c r="B32" s="47" t="s">
        <v>36</v>
      </c>
      <c r="C32" s="47" t="s">
        <v>139</v>
      </c>
      <c r="D32" s="47" t="s">
        <v>113</v>
      </c>
      <c r="E32" s="47" t="s">
        <v>114</v>
      </c>
      <c r="F32" s="47" t="s">
        <v>13</v>
      </c>
      <c r="G32" s="47" t="s">
        <v>41</v>
      </c>
      <c r="H32" s="47" t="str">
        <f>VLOOKUP(G32,DADOS!$B$22:$C$30,2,TRUE)</f>
        <v>Manta asfáltica 4mm aderida com asfalto oxidado modificado + Emulsão asfáltica antiraiz</v>
      </c>
      <c r="I32" s="48" t="s">
        <v>16</v>
      </c>
      <c r="J32" s="48" t="s">
        <v>16</v>
      </c>
      <c r="K32" s="49">
        <v>0.5</v>
      </c>
      <c r="L32" s="49">
        <v>19.936699999999998</v>
      </c>
      <c r="M32" s="46">
        <v>9.9683499999999992</v>
      </c>
      <c r="N32" s="49">
        <v>3.7235999999999998</v>
      </c>
      <c r="O32" s="50">
        <v>1</v>
      </c>
      <c r="P32" s="46">
        <f t="shared" si="1"/>
        <v>13.691949999999999</v>
      </c>
      <c r="Q32" s="43">
        <v>46281</v>
      </c>
      <c r="R32" s="43">
        <f t="shared" si="4"/>
        <v>46311</v>
      </c>
    </row>
    <row r="33" spans="2:18" x14ac:dyDescent="0.25">
      <c r="B33" s="47" t="s">
        <v>36</v>
      </c>
      <c r="C33" s="47" t="s">
        <v>139</v>
      </c>
      <c r="D33" s="47" t="s">
        <v>113</v>
      </c>
      <c r="E33" s="47" t="s">
        <v>114</v>
      </c>
      <c r="F33" s="47" t="s">
        <v>13</v>
      </c>
      <c r="G33" s="47" t="s">
        <v>41</v>
      </c>
      <c r="H33" s="47" t="str">
        <f>VLOOKUP(G33,DADOS!$B$22:$C$30,2,TRUE)</f>
        <v>Manta asfáltica 4mm aderida com asfalto oxidado modificado + Emulsão asfáltica antiraiz</v>
      </c>
      <c r="I33" s="48" t="s">
        <v>16</v>
      </c>
      <c r="J33" s="48" t="s">
        <v>16</v>
      </c>
      <c r="K33" s="49">
        <v>0.5</v>
      </c>
      <c r="L33" s="49">
        <v>10.986599999999999</v>
      </c>
      <c r="M33" s="46">
        <v>5.4932999999999996</v>
      </c>
      <c r="N33" s="49">
        <v>5.2343000000000002</v>
      </c>
      <c r="O33" s="50">
        <v>1</v>
      </c>
      <c r="P33" s="46">
        <f t="shared" si="1"/>
        <v>10.727599999999999</v>
      </c>
      <c r="Q33" s="43">
        <v>46281</v>
      </c>
      <c r="R33" s="43">
        <f t="shared" si="4"/>
        <v>46311</v>
      </c>
    </row>
    <row r="34" spans="2:18" x14ac:dyDescent="0.25">
      <c r="B34" s="47" t="s">
        <v>36</v>
      </c>
      <c r="C34" s="47" t="s">
        <v>139</v>
      </c>
      <c r="D34" s="47" t="s">
        <v>113</v>
      </c>
      <c r="E34" s="47" t="s">
        <v>114</v>
      </c>
      <c r="F34" s="47" t="s">
        <v>13</v>
      </c>
      <c r="G34" s="47" t="s">
        <v>41</v>
      </c>
      <c r="H34" s="47" t="str">
        <f>VLOOKUP(G34,DADOS!$B$22:$C$30,2,TRUE)</f>
        <v>Manta asfáltica 4mm aderida com asfalto oxidado modificado + Emulsão asfáltica antiraiz</v>
      </c>
      <c r="I34" s="48" t="s">
        <v>16</v>
      </c>
      <c r="J34" s="48" t="s">
        <v>16</v>
      </c>
      <c r="K34" s="49">
        <v>0.5</v>
      </c>
      <c r="L34" s="49">
        <v>23.1358</v>
      </c>
      <c r="M34" s="46">
        <v>11.5679</v>
      </c>
      <c r="N34" s="49">
        <v>6.7652000000000001</v>
      </c>
      <c r="O34" s="50">
        <v>1</v>
      </c>
      <c r="P34" s="46">
        <f t="shared" si="1"/>
        <v>18.333100000000002</v>
      </c>
      <c r="Q34" s="43">
        <v>46281</v>
      </c>
      <c r="R34" s="43">
        <f t="shared" si="4"/>
        <v>46311</v>
      </c>
    </row>
    <row r="35" spans="2:18" x14ac:dyDescent="0.25">
      <c r="B35" s="47" t="s">
        <v>36</v>
      </c>
      <c r="C35" s="47" t="s">
        <v>139</v>
      </c>
      <c r="D35" s="47" t="s">
        <v>113</v>
      </c>
      <c r="E35" s="47" t="s">
        <v>114</v>
      </c>
      <c r="F35" s="47" t="s">
        <v>13</v>
      </c>
      <c r="G35" s="47" t="s">
        <v>41</v>
      </c>
      <c r="H35" s="47" t="str">
        <f>VLOOKUP(G35,DADOS!$B$22:$C$30,2,TRUE)</f>
        <v>Manta asfáltica 4mm aderida com asfalto oxidado modificado + Emulsão asfáltica antiraiz</v>
      </c>
      <c r="I35" s="48" t="s">
        <v>16</v>
      </c>
      <c r="J35" s="48" t="s">
        <v>16</v>
      </c>
      <c r="K35" s="49">
        <v>0.5</v>
      </c>
      <c r="L35" s="49">
        <v>15.7615</v>
      </c>
      <c r="M35" s="46">
        <v>7.8807499999999999</v>
      </c>
      <c r="N35" s="49">
        <v>5.157</v>
      </c>
      <c r="O35" s="50">
        <v>1</v>
      </c>
      <c r="P35" s="46">
        <f t="shared" si="1"/>
        <v>13.037749999999999</v>
      </c>
      <c r="Q35" s="43">
        <v>46281</v>
      </c>
      <c r="R35" s="43">
        <f t="shared" si="4"/>
        <v>46311</v>
      </c>
    </row>
    <row r="36" spans="2:18" x14ac:dyDescent="0.25">
      <c r="B36" s="47" t="s">
        <v>36</v>
      </c>
      <c r="C36" s="47" t="s">
        <v>139</v>
      </c>
      <c r="D36" s="47" t="s">
        <v>113</v>
      </c>
      <c r="E36" s="47" t="s">
        <v>114</v>
      </c>
      <c r="F36" s="47" t="s">
        <v>13</v>
      </c>
      <c r="G36" s="47" t="s">
        <v>41</v>
      </c>
      <c r="H36" s="47" t="str">
        <f>VLOOKUP(G36,DADOS!$B$22:$C$30,2,TRUE)</f>
        <v>Manta asfáltica 4mm aderida com asfalto oxidado modificado + Emulsão asfáltica antiraiz</v>
      </c>
      <c r="I36" s="48" t="s">
        <v>16</v>
      </c>
      <c r="J36" s="48" t="s">
        <v>16</v>
      </c>
      <c r="K36" s="49">
        <v>0.5</v>
      </c>
      <c r="L36" s="49">
        <v>11.0505</v>
      </c>
      <c r="M36" s="46">
        <v>5.5252499999999998</v>
      </c>
      <c r="N36" s="49">
        <v>5.0331000000000001</v>
      </c>
      <c r="O36" s="50">
        <v>1</v>
      </c>
      <c r="P36" s="46">
        <f t="shared" si="1"/>
        <v>10.558350000000001</v>
      </c>
      <c r="Q36" s="43">
        <v>46281</v>
      </c>
      <c r="R36" s="43">
        <f t="shared" si="4"/>
        <v>46311</v>
      </c>
    </row>
    <row r="37" spans="2:18" x14ac:dyDescent="0.25">
      <c r="B37" s="47" t="s">
        <v>36</v>
      </c>
      <c r="C37" s="47" t="s">
        <v>139</v>
      </c>
      <c r="D37" s="47" t="s">
        <v>113</v>
      </c>
      <c r="E37" s="47" t="s">
        <v>114</v>
      </c>
      <c r="F37" s="47" t="s">
        <v>13</v>
      </c>
      <c r="G37" s="47" t="s">
        <v>41</v>
      </c>
      <c r="H37" s="47" t="str">
        <f>VLOOKUP(G37,DADOS!$B$22:$C$30,2,TRUE)</f>
        <v>Manta asfáltica 4mm aderida com asfalto oxidado modificado + Emulsão asfáltica antiraiz</v>
      </c>
      <c r="I37" s="48" t="s">
        <v>16</v>
      </c>
      <c r="J37" s="48" t="s">
        <v>16</v>
      </c>
      <c r="K37" s="49">
        <v>0.5</v>
      </c>
      <c r="L37" s="49">
        <v>11.1839</v>
      </c>
      <c r="M37" s="46">
        <v>5.5919499999999998</v>
      </c>
      <c r="N37" s="49">
        <v>4.2835000000000001</v>
      </c>
      <c r="O37" s="50">
        <v>1</v>
      </c>
      <c r="P37" s="46">
        <f t="shared" si="1"/>
        <v>9.8754500000000007</v>
      </c>
      <c r="Q37" s="43">
        <v>46281</v>
      </c>
      <c r="R37" s="43">
        <f t="shared" si="4"/>
        <v>46311</v>
      </c>
    </row>
    <row r="38" spans="2:18" x14ac:dyDescent="0.25">
      <c r="B38" s="47" t="s">
        <v>36</v>
      </c>
      <c r="C38" s="47" t="s">
        <v>139</v>
      </c>
      <c r="D38" s="47" t="s">
        <v>113</v>
      </c>
      <c r="E38" s="47" t="s">
        <v>114</v>
      </c>
      <c r="F38" s="47" t="s">
        <v>13</v>
      </c>
      <c r="G38" s="47" t="s">
        <v>41</v>
      </c>
      <c r="H38" s="47" t="str">
        <f>VLOOKUP(G38,DADOS!$B$22:$C$30,2,TRUE)</f>
        <v>Manta asfáltica 4mm aderida com asfalto oxidado modificado + Emulsão asfáltica antiraiz</v>
      </c>
      <c r="I38" s="48" t="s">
        <v>16</v>
      </c>
      <c r="J38" s="48" t="s">
        <v>16</v>
      </c>
      <c r="K38" s="49">
        <v>0.5</v>
      </c>
      <c r="L38" s="49">
        <v>7.3335999999999997</v>
      </c>
      <c r="M38" s="46">
        <v>3.6667999999999998</v>
      </c>
      <c r="N38" s="49">
        <v>0.97370000000000001</v>
      </c>
      <c r="O38" s="50">
        <v>1</v>
      </c>
      <c r="P38" s="46">
        <f t="shared" si="1"/>
        <v>4.6404999999999994</v>
      </c>
      <c r="Q38" s="43">
        <v>46281</v>
      </c>
      <c r="R38" s="43">
        <f t="shared" si="4"/>
        <v>46311</v>
      </c>
    </row>
    <row r="39" spans="2:18" x14ac:dyDescent="0.25">
      <c r="B39" s="47" t="s">
        <v>36</v>
      </c>
      <c r="C39" s="47" t="s">
        <v>139</v>
      </c>
      <c r="D39" s="47" t="s">
        <v>113</v>
      </c>
      <c r="E39" s="47" t="s">
        <v>114</v>
      </c>
      <c r="F39" s="47" t="s">
        <v>13</v>
      </c>
      <c r="G39" s="47" t="s">
        <v>41</v>
      </c>
      <c r="H39" s="47" t="str">
        <f>VLOOKUP(G39,DADOS!$B$22:$C$30,2,TRUE)</f>
        <v>Manta asfáltica 4mm aderida com asfalto oxidado modificado + Emulsão asfáltica antiraiz</v>
      </c>
      <c r="I39" s="48" t="s">
        <v>16</v>
      </c>
      <c r="J39" s="48" t="s">
        <v>16</v>
      </c>
      <c r="K39" s="49">
        <v>0.5</v>
      </c>
      <c r="L39" s="49">
        <v>234.9178</v>
      </c>
      <c r="M39" s="46">
        <v>117.4589</v>
      </c>
      <c r="N39" s="49">
        <v>137.1437</v>
      </c>
      <c r="O39" s="50">
        <v>1</v>
      </c>
      <c r="P39" s="46">
        <f t="shared" si="1"/>
        <v>254.6026</v>
      </c>
      <c r="Q39" s="43">
        <v>46281</v>
      </c>
      <c r="R39" s="43">
        <f t="shared" si="4"/>
        <v>46311</v>
      </c>
    </row>
    <row r="40" spans="2:18" x14ac:dyDescent="0.25">
      <c r="B40" s="47" t="s">
        <v>36</v>
      </c>
      <c r="C40" s="47" t="s">
        <v>139</v>
      </c>
      <c r="D40" s="47" t="s">
        <v>113</v>
      </c>
      <c r="E40" s="47" t="s">
        <v>114</v>
      </c>
      <c r="F40" s="47" t="s">
        <v>13</v>
      </c>
      <c r="G40" s="47" t="s">
        <v>41</v>
      </c>
      <c r="H40" s="47" t="str">
        <f>VLOOKUP(G40,DADOS!$B$22:$C$30,2,TRUE)</f>
        <v>Manta asfáltica 4mm aderida com asfalto oxidado modificado + Emulsão asfáltica antiraiz</v>
      </c>
      <c r="I40" s="48" t="s">
        <v>16</v>
      </c>
      <c r="J40" s="48" t="s">
        <v>16</v>
      </c>
      <c r="K40" s="49">
        <v>0.5</v>
      </c>
      <c r="L40" s="49">
        <v>108.3896</v>
      </c>
      <c r="M40" s="46">
        <v>54.194800000000001</v>
      </c>
      <c r="N40" s="49">
        <v>86.805300000000003</v>
      </c>
      <c r="O40" s="50">
        <v>1</v>
      </c>
      <c r="P40" s="46">
        <f t="shared" si="1"/>
        <v>141.0001</v>
      </c>
      <c r="Q40" s="43">
        <v>46281</v>
      </c>
      <c r="R40" s="43">
        <f t="shared" si="4"/>
        <v>46311</v>
      </c>
    </row>
    <row r="41" spans="2:18" x14ac:dyDescent="0.25">
      <c r="B41" s="47" t="s">
        <v>36</v>
      </c>
      <c r="C41" s="47" t="s">
        <v>139</v>
      </c>
      <c r="D41" s="47" t="s">
        <v>113</v>
      </c>
      <c r="E41" s="47" t="s">
        <v>114</v>
      </c>
      <c r="F41" s="47" t="s">
        <v>13</v>
      </c>
      <c r="G41" s="47" t="s">
        <v>41</v>
      </c>
      <c r="H41" s="47" t="str">
        <f>VLOOKUP(G41,DADOS!$B$22:$C$30,2,TRUE)</f>
        <v>Manta asfáltica 4mm aderida com asfalto oxidado modificado + Emulsão asfáltica antiraiz</v>
      </c>
      <c r="I41" s="48" t="s">
        <v>16</v>
      </c>
      <c r="J41" s="48" t="s">
        <v>16</v>
      </c>
      <c r="K41" s="49">
        <v>0.5</v>
      </c>
      <c r="L41" s="49">
        <v>6.5739999999999998</v>
      </c>
      <c r="M41" s="46">
        <v>3.2869999999999999</v>
      </c>
      <c r="N41" s="49">
        <v>2.6674000000000002</v>
      </c>
      <c r="O41" s="50">
        <v>1</v>
      </c>
      <c r="P41" s="46">
        <f t="shared" si="1"/>
        <v>5.9543999999999997</v>
      </c>
      <c r="Q41" s="43">
        <v>46281</v>
      </c>
      <c r="R41" s="43">
        <f t="shared" si="4"/>
        <v>46311</v>
      </c>
    </row>
    <row r="42" spans="2:18" x14ac:dyDescent="0.25">
      <c r="B42" s="47" t="s">
        <v>36</v>
      </c>
      <c r="C42" s="47" t="s">
        <v>139</v>
      </c>
      <c r="D42" s="47" t="s">
        <v>113</v>
      </c>
      <c r="E42" s="47" t="s">
        <v>114</v>
      </c>
      <c r="F42" s="47" t="s">
        <v>13</v>
      </c>
      <c r="G42" s="47" t="s">
        <v>41</v>
      </c>
      <c r="H42" s="47" t="str">
        <f>VLOOKUP(G42,DADOS!$B$22:$C$30,2,TRUE)</f>
        <v>Manta asfáltica 4mm aderida com asfalto oxidado modificado + Emulsão asfáltica antiraiz</v>
      </c>
      <c r="I42" s="48" t="s">
        <v>16</v>
      </c>
      <c r="J42" s="48" t="s">
        <v>16</v>
      </c>
      <c r="K42" s="49">
        <v>0.5</v>
      </c>
      <c r="L42" s="49">
        <v>18.946100000000001</v>
      </c>
      <c r="M42" s="46">
        <v>9.4730500000000006</v>
      </c>
      <c r="N42" s="49">
        <v>14.9208</v>
      </c>
      <c r="O42" s="50">
        <v>1</v>
      </c>
      <c r="P42" s="46">
        <f t="shared" si="1"/>
        <v>24.39385</v>
      </c>
      <c r="Q42" s="43">
        <v>46281</v>
      </c>
      <c r="R42" s="43">
        <f t="shared" si="4"/>
        <v>46311</v>
      </c>
    </row>
    <row r="43" spans="2:18" x14ac:dyDescent="0.25">
      <c r="B43" s="47" t="s">
        <v>36</v>
      </c>
      <c r="C43" s="47" t="s">
        <v>139</v>
      </c>
      <c r="D43" s="47" t="s">
        <v>113</v>
      </c>
      <c r="E43" s="47" t="s">
        <v>114</v>
      </c>
      <c r="F43" s="47" t="s">
        <v>13</v>
      </c>
      <c r="G43" s="47" t="s">
        <v>41</v>
      </c>
      <c r="H43" s="47" t="str">
        <f>VLOOKUP(G43,DADOS!$B$22:$C$30,2,TRUE)</f>
        <v>Manta asfáltica 4mm aderida com asfalto oxidado modificado + Emulsão asfáltica antiraiz</v>
      </c>
      <c r="I43" s="48" t="s">
        <v>16</v>
      </c>
      <c r="J43" s="48" t="s">
        <v>16</v>
      </c>
      <c r="K43" s="49">
        <v>0.5</v>
      </c>
      <c r="L43" s="49">
        <v>32.2361</v>
      </c>
      <c r="M43" s="46">
        <v>16.11805</v>
      </c>
      <c r="N43" s="49">
        <v>26.0501</v>
      </c>
      <c r="O43" s="50">
        <v>1</v>
      </c>
      <c r="P43" s="46">
        <f t="shared" si="1"/>
        <v>42.168149999999997</v>
      </c>
      <c r="Q43" s="43">
        <v>46281</v>
      </c>
      <c r="R43" s="43">
        <f t="shared" si="4"/>
        <v>46311</v>
      </c>
    </row>
    <row r="44" spans="2:18" x14ac:dyDescent="0.25">
      <c r="B44" s="47" t="s">
        <v>36</v>
      </c>
      <c r="C44" s="47" t="s">
        <v>139</v>
      </c>
      <c r="D44" s="47" t="s">
        <v>113</v>
      </c>
      <c r="E44" s="47" t="s">
        <v>114</v>
      </c>
      <c r="F44" s="47" t="s">
        <v>13</v>
      </c>
      <c r="G44" s="47" t="s">
        <v>41</v>
      </c>
      <c r="H44" s="47" t="str">
        <f>VLOOKUP(G44,DADOS!$B$22:$C$30,2,TRUE)</f>
        <v>Manta asfáltica 4mm aderida com asfalto oxidado modificado + Emulsão asfáltica antiraiz</v>
      </c>
      <c r="I44" s="48" t="s">
        <v>16</v>
      </c>
      <c r="J44" s="48" t="s">
        <v>16</v>
      </c>
      <c r="K44" s="49">
        <v>0.5</v>
      </c>
      <c r="L44" s="49">
        <v>59.886200000000002</v>
      </c>
      <c r="M44" s="46">
        <v>29.943100000000001</v>
      </c>
      <c r="N44" s="49">
        <v>64.119299999999996</v>
      </c>
      <c r="O44" s="50">
        <v>1</v>
      </c>
      <c r="P44" s="46">
        <f t="shared" si="1"/>
        <v>94.062399999999997</v>
      </c>
      <c r="Q44" s="43">
        <v>46281</v>
      </c>
      <c r="R44" s="43">
        <f t="shared" si="4"/>
        <v>46311</v>
      </c>
    </row>
    <row r="45" spans="2:18" x14ac:dyDescent="0.25">
      <c r="B45" s="47" t="s">
        <v>36</v>
      </c>
      <c r="C45" s="47" t="s">
        <v>139</v>
      </c>
      <c r="D45" s="47" t="s">
        <v>113</v>
      </c>
      <c r="E45" s="47" t="s">
        <v>114</v>
      </c>
      <c r="F45" s="47" t="s">
        <v>13</v>
      </c>
      <c r="G45" s="47" t="s">
        <v>41</v>
      </c>
      <c r="H45" s="47" t="str">
        <f>VLOOKUP(G45,DADOS!$B$22:$C$30,2,TRUE)</f>
        <v>Manta asfáltica 4mm aderida com asfalto oxidado modificado + Emulsão asfáltica antiraiz</v>
      </c>
      <c r="I45" s="48" t="s">
        <v>16</v>
      </c>
      <c r="J45" s="48" t="s">
        <v>16</v>
      </c>
      <c r="K45" s="49">
        <v>0.5</v>
      </c>
      <c r="L45" s="49">
        <v>159.8904</v>
      </c>
      <c r="M45" s="46">
        <v>79.9452</v>
      </c>
      <c r="N45" s="49">
        <v>143.05109999999999</v>
      </c>
      <c r="O45" s="50">
        <v>1</v>
      </c>
      <c r="P45" s="46">
        <f t="shared" si="1"/>
        <v>222.99629999999999</v>
      </c>
      <c r="Q45" s="43">
        <v>46281</v>
      </c>
      <c r="R45" s="43">
        <f t="shared" si="4"/>
        <v>46311</v>
      </c>
    </row>
    <row r="46" spans="2:18" x14ac:dyDescent="0.25">
      <c r="B46" s="47" t="s">
        <v>36</v>
      </c>
      <c r="C46" s="47" t="s">
        <v>139</v>
      </c>
      <c r="D46" s="47" t="s">
        <v>113</v>
      </c>
      <c r="E46" s="47" t="s">
        <v>114</v>
      </c>
      <c r="F46" s="47" t="s">
        <v>13</v>
      </c>
      <c r="G46" s="47" t="s">
        <v>41</v>
      </c>
      <c r="H46" s="47" t="str">
        <f>VLOOKUP(G46,DADOS!$B$22:$C$30,2,TRUE)</f>
        <v>Manta asfáltica 4mm aderida com asfalto oxidado modificado + Emulsão asfáltica antiraiz</v>
      </c>
      <c r="I46" s="48" t="s">
        <v>16</v>
      </c>
      <c r="J46" s="48" t="s">
        <v>16</v>
      </c>
      <c r="K46" s="49">
        <v>0.5</v>
      </c>
      <c r="L46" s="49">
        <v>7.98</v>
      </c>
      <c r="M46" s="46">
        <v>3.99</v>
      </c>
      <c r="N46" s="49">
        <v>3.5893999999999999</v>
      </c>
      <c r="O46" s="50">
        <v>1</v>
      </c>
      <c r="P46" s="46">
        <f t="shared" si="1"/>
        <v>7.5793999999999997</v>
      </c>
      <c r="Q46" s="43">
        <v>46281</v>
      </c>
      <c r="R46" s="43">
        <f t="shared" si="4"/>
        <v>46311</v>
      </c>
    </row>
    <row r="47" spans="2:18" x14ac:dyDescent="0.25">
      <c r="B47" s="47" t="s">
        <v>36</v>
      </c>
      <c r="C47" s="47" t="s">
        <v>139</v>
      </c>
      <c r="D47" s="47" t="s">
        <v>113</v>
      </c>
      <c r="E47" s="47" t="s">
        <v>114</v>
      </c>
      <c r="F47" s="47" t="s">
        <v>13</v>
      </c>
      <c r="G47" s="47" t="s">
        <v>41</v>
      </c>
      <c r="H47" s="47" t="str">
        <f>VLOOKUP(G47,DADOS!$B$22:$C$30,2,TRUE)</f>
        <v>Manta asfáltica 4mm aderida com asfalto oxidado modificado + Emulsão asfáltica antiraiz</v>
      </c>
      <c r="I47" s="48" t="s">
        <v>16</v>
      </c>
      <c r="J47" s="48" t="s">
        <v>16</v>
      </c>
      <c r="K47" s="49">
        <v>0.5</v>
      </c>
      <c r="L47" s="49">
        <v>29.352399999999999</v>
      </c>
      <c r="M47" s="46">
        <v>14.6762</v>
      </c>
      <c r="N47" s="49">
        <v>43.122700000000002</v>
      </c>
      <c r="O47" s="50">
        <v>1</v>
      </c>
      <c r="P47" s="46">
        <f t="shared" si="1"/>
        <v>57.798900000000003</v>
      </c>
      <c r="Q47" s="43">
        <v>46281</v>
      </c>
      <c r="R47" s="43">
        <f t="shared" si="4"/>
        <v>46311</v>
      </c>
    </row>
    <row r="48" spans="2:18" x14ac:dyDescent="0.25">
      <c r="B48" s="47" t="s">
        <v>36</v>
      </c>
      <c r="C48" s="47" t="s">
        <v>139</v>
      </c>
      <c r="D48" s="47" t="s">
        <v>113</v>
      </c>
      <c r="E48" s="47" t="s">
        <v>114</v>
      </c>
      <c r="F48" s="47" t="s">
        <v>13</v>
      </c>
      <c r="G48" s="47" t="s">
        <v>41</v>
      </c>
      <c r="H48" s="47" t="str">
        <f>VLOOKUP(G48,DADOS!$B$22:$C$30,2,TRUE)</f>
        <v>Manta asfáltica 4mm aderida com asfalto oxidado modificado + Emulsão asfáltica antiraiz</v>
      </c>
      <c r="I48" s="48" t="s">
        <v>16</v>
      </c>
      <c r="J48" s="48" t="s">
        <v>16</v>
      </c>
      <c r="K48" s="49">
        <v>0.5</v>
      </c>
      <c r="L48" s="49">
        <v>48.6325</v>
      </c>
      <c r="M48" s="46">
        <v>24.31625</v>
      </c>
      <c r="N48" s="49">
        <v>25.267399999999999</v>
      </c>
      <c r="O48" s="50">
        <v>1</v>
      </c>
      <c r="P48" s="46">
        <f t="shared" si="1"/>
        <v>49.583649999999999</v>
      </c>
      <c r="Q48" s="43">
        <v>46281</v>
      </c>
      <c r="R48" s="43">
        <f t="shared" si="4"/>
        <v>46311</v>
      </c>
    </row>
    <row r="49" spans="1:18" x14ac:dyDescent="0.25">
      <c r="B49" s="47" t="s">
        <v>36</v>
      </c>
      <c r="C49" s="47" t="s">
        <v>139</v>
      </c>
      <c r="D49" s="47" t="s">
        <v>113</v>
      </c>
      <c r="E49" s="47" t="s">
        <v>115</v>
      </c>
      <c r="F49" s="47" t="s">
        <v>13</v>
      </c>
      <c r="G49" s="47" t="s">
        <v>41</v>
      </c>
      <c r="H49" s="47" t="str">
        <f>VLOOKUP(G49,DADOS!$B$22:$C$30,2,TRUE)</f>
        <v>Manta asfáltica 4mm aderida com asfalto oxidado modificado + Emulsão asfáltica antiraiz</v>
      </c>
      <c r="I49" s="48" t="s">
        <v>16</v>
      </c>
      <c r="J49" s="48" t="s">
        <v>16</v>
      </c>
      <c r="K49" s="49">
        <v>0.5</v>
      </c>
      <c r="L49" s="49">
        <v>38.1</v>
      </c>
      <c r="M49" s="46">
        <v>19.05</v>
      </c>
      <c r="N49" s="49">
        <v>26.676000000000002</v>
      </c>
      <c r="O49" s="50">
        <v>1</v>
      </c>
      <c r="P49" s="46">
        <f t="shared" si="1"/>
        <v>45.725999999999999</v>
      </c>
      <c r="Q49" s="43">
        <v>46281</v>
      </c>
      <c r="R49" s="43">
        <f t="shared" si="4"/>
        <v>46311</v>
      </c>
    </row>
    <row r="50" spans="1:18" x14ac:dyDescent="0.25">
      <c r="B50" s="47" t="s">
        <v>36</v>
      </c>
      <c r="C50" s="47" t="s">
        <v>139</v>
      </c>
      <c r="D50" s="47" t="s">
        <v>113</v>
      </c>
      <c r="E50" s="47" t="s">
        <v>115</v>
      </c>
      <c r="F50" s="47" t="s">
        <v>13</v>
      </c>
      <c r="G50" s="47" t="s">
        <v>41</v>
      </c>
      <c r="H50" s="47" t="str">
        <f>VLOOKUP(G50,DADOS!$B$22:$C$30,2,TRUE)</f>
        <v>Manta asfáltica 4mm aderida com asfalto oxidado modificado + Emulsão asfáltica antiraiz</v>
      </c>
      <c r="I50" s="48" t="s">
        <v>16</v>
      </c>
      <c r="J50" s="48" t="s">
        <v>16</v>
      </c>
      <c r="K50" s="49">
        <v>0.5</v>
      </c>
      <c r="L50" s="49">
        <v>39.744999999999997</v>
      </c>
      <c r="M50" s="46">
        <v>19.872499999999999</v>
      </c>
      <c r="N50" s="49">
        <v>8.8867999999999991</v>
      </c>
      <c r="O50" s="50">
        <v>1</v>
      </c>
      <c r="P50" s="46">
        <f t="shared" si="1"/>
        <v>28.759299999999996</v>
      </c>
      <c r="Q50" s="43">
        <v>46281</v>
      </c>
      <c r="R50" s="43">
        <f t="shared" si="4"/>
        <v>46311</v>
      </c>
    </row>
    <row r="51" spans="1:18" x14ac:dyDescent="0.25">
      <c r="B51" s="47" t="s">
        <v>36</v>
      </c>
      <c r="C51" s="47" t="s">
        <v>139</v>
      </c>
      <c r="D51" s="47" t="s">
        <v>113</v>
      </c>
      <c r="E51" s="47" t="s">
        <v>115</v>
      </c>
      <c r="F51" s="47" t="s">
        <v>13</v>
      </c>
      <c r="G51" s="47" t="s">
        <v>41</v>
      </c>
      <c r="H51" s="47" t="str">
        <f>VLOOKUP(G51,DADOS!$B$22:$C$30,2,TRUE)</f>
        <v>Manta asfáltica 4mm aderida com asfalto oxidado modificado + Emulsão asfáltica antiraiz</v>
      </c>
      <c r="I51" s="48" t="s">
        <v>16</v>
      </c>
      <c r="J51" s="48" t="s">
        <v>16</v>
      </c>
      <c r="K51" s="49">
        <v>0.5</v>
      </c>
      <c r="L51" s="49">
        <v>8.8870000000000005</v>
      </c>
      <c r="M51" s="46">
        <v>4.4435000000000002</v>
      </c>
      <c r="N51" s="49">
        <v>3.53</v>
      </c>
      <c r="O51" s="50">
        <v>1</v>
      </c>
      <c r="P51" s="46">
        <f t="shared" si="1"/>
        <v>7.9734999999999996</v>
      </c>
      <c r="Q51" s="43">
        <v>46281</v>
      </c>
      <c r="R51" s="43">
        <f t="shared" si="4"/>
        <v>46311</v>
      </c>
    </row>
    <row r="52" spans="1:18" x14ac:dyDescent="0.25">
      <c r="B52" s="47" t="s">
        <v>36</v>
      </c>
      <c r="C52" s="47" t="s">
        <v>139</v>
      </c>
      <c r="D52" s="47" t="s">
        <v>113</v>
      </c>
      <c r="E52" s="47" t="s">
        <v>115</v>
      </c>
      <c r="F52" s="47" t="s">
        <v>13</v>
      </c>
      <c r="G52" s="47" t="s">
        <v>41</v>
      </c>
      <c r="H52" s="47" t="str">
        <f>VLOOKUP(G52,DADOS!$B$22:$C$30,2,TRUE)</f>
        <v>Manta asfáltica 4mm aderida com asfalto oxidado modificado + Emulsão asfáltica antiraiz</v>
      </c>
      <c r="I52" s="48" t="s">
        <v>16</v>
      </c>
      <c r="J52" s="48" t="s">
        <v>16</v>
      </c>
      <c r="K52" s="49">
        <v>0.5</v>
      </c>
      <c r="L52" s="49">
        <v>10.929</v>
      </c>
      <c r="M52" s="46">
        <v>5.4645000000000001</v>
      </c>
      <c r="N52" s="49">
        <v>2.1800000000000002</v>
      </c>
      <c r="O52" s="50">
        <v>1</v>
      </c>
      <c r="P52" s="46">
        <f t="shared" si="1"/>
        <v>7.6445000000000007</v>
      </c>
      <c r="Q52" s="43">
        <v>46281</v>
      </c>
      <c r="R52" s="43">
        <f t="shared" si="4"/>
        <v>46311</v>
      </c>
    </row>
    <row r="53" spans="1:18" x14ac:dyDescent="0.25">
      <c r="B53" s="47" t="s">
        <v>36</v>
      </c>
      <c r="C53" s="47" t="s">
        <v>139</v>
      </c>
      <c r="D53" s="47" t="s">
        <v>113</v>
      </c>
      <c r="E53" s="47" t="s">
        <v>115</v>
      </c>
      <c r="F53" s="47" t="s">
        <v>13</v>
      </c>
      <c r="G53" s="47" t="s">
        <v>41</v>
      </c>
      <c r="H53" s="47" t="str">
        <f>VLOOKUP(G53,DADOS!$B$22:$C$30,2,TRUE)</f>
        <v>Manta asfáltica 4mm aderida com asfalto oxidado modificado + Emulsão asfáltica antiraiz</v>
      </c>
      <c r="I53" s="48" t="s">
        <v>16</v>
      </c>
      <c r="J53" s="48" t="s">
        <v>16</v>
      </c>
      <c r="K53" s="49">
        <v>0.5</v>
      </c>
      <c r="L53" s="49">
        <v>14.54</v>
      </c>
      <c r="M53" s="46">
        <v>7.27</v>
      </c>
      <c r="N53" s="49">
        <v>3.2</v>
      </c>
      <c r="O53" s="50">
        <v>1</v>
      </c>
      <c r="P53" s="46">
        <f t="shared" si="1"/>
        <v>10.469999999999999</v>
      </c>
      <c r="Q53" s="43">
        <v>46281</v>
      </c>
      <c r="R53" s="43">
        <f t="shared" si="4"/>
        <v>46311</v>
      </c>
    </row>
    <row r="54" spans="1:18" x14ac:dyDescent="0.25">
      <c r="B54" s="47" t="s">
        <v>36</v>
      </c>
      <c r="C54" s="47" t="s">
        <v>139</v>
      </c>
      <c r="D54" s="47" t="s">
        <v>113</v>
      </c>
      <c r="E54" s="47" t="s">
        <v>115</v>
      </c>
      <c r="F54" s="47" t="s">
        <v>13</v>
      </c>
      <c r="G54" s="47" t="s">
        <v>41</v>
      </c>
      <c r="H54" s="47" t="str">
        <f>VLOOKUP(G54,DADOS!$B$22:$C$30,2,TRUE)</f>
        <v>Manta asfáltica 4mm aderida com asfalto oxidado modificado + Emulsão asfáltica antiraiz</v>
      </c>
      <c r="I54" s="48" t="s">
        <v>16</v>
      </c>
      <c r="J54" s="48" t="s">
        <v>16</v>
      </c>
      <c r="K54" s="49">
        <v>0.5</v>
      </c>
      <c r="L54" s="49">
        <v>51.39</v>
      </c>
      <c r="M54" s="46">
        <v>25.695</v>
      </c>
      <c r="N54" s="49">
        <v>9.7899999999999991</v>
      </c>
      <c r="O54" s="50">
        <v>1</v>
      </c>
      <c r="P54" s="46">
        <f t="shared" si="1"/>
        <v>35.484999999999999</v>
      </c>
      <c r="Q54" s="43">
        <v>46281</v>
      </c>
      <c r="R54" s="43">
        <f t="shared" si="4"/>
        <v>46311</v>
      </c>
    </row>
    <row r="55" spans="1:18" x14ac:dyDescent="0.25">
      <c r="B55" s="47" t="s">
        <v>36</v>
      </c>
      <c r="C55" s="47" t="s">
        <v>139</v>
      </c>
      <c r="D55" s="47" t="s">
        <v>113</v>
      </c>
      <c r="E55" s="47" t="s">
        <v>116</v>
      </c>
      <c r="F55" s="47" t="s">
        <v>13</v>
      </c>
      <c r="G55" s="47" t="s">
        <v>42</v>
      </c>
      <c r="H55" s="47" t="str">
        <f>VLOOKUP(G55,DADOS!$B$22:$C$30,2,TRUE)</f>
        <v>Manta asfáltica 4mm aderida com asfalto oxidado modificado</v>
      </c>
      <c r="I55" s="48" t="s">
        <v>16</v>
      </c>
      <c r="J55" s="48" t="s">
        <v>16</v>
      </c>
      <c r="K55" s="49">
        <v>0.3</v>
      </c>
      <c r="L55" s="49">
        <v>814.48037999999997</v>
      </c>
      <c r="M55" s="46">
        <v>244.34411399999999</v>
      </c>
      <c r="N55" s="49">
        <v>1586.8585753</v>
      </c>
      <c r="O55" s="50">
        <v>1</v>
      </c>
      <c r="P55" s="46">
        <f t="shared" si="1"/>
        <v>1831.2026893</v>
      </c>
      <c r="Q55" s="43">
        <v>46281</v>
      </c>
      <c r="R55" s="43">
        <f t="shared" si="4"/>
        <v>46311</v>
      </c>
    </row>
    <row r="56" spans="1:18" x14ac:dyDescent="0.25">
      <c r="B56" s="47" t="s">
        <v>111</v>
      </c>
      <c r="C56" s="47" t="s">
        <v>55</v>
      </c>
      <c r="D56" s="47" t="s">
        <v>38</v>
      </c>
      <c r="E56" s="47" t="s">
        <v>108</v>
      </c>
      <c r="F56" s="47" t="s">
        <v>14</v>
      </c>
      <c r="G56" s="47" t="s">
        <v>20</v>
      </c>
      <c r="H56" s="47" t="str">
        <f>VLOOKUP(G56,DADOS!$B$22:$C$30,2,TRUE)</f>
        <v>Argamassa polimérica para impermeabilização + Membrana de polímero acrílico com cimento e fibras sintéticas</v>
      </c>
      <c r="I56" s="48" t="s">
        <v>16</v>
      </c>
      <c r="J56" s="48" t="s">
        <v>17</v>
      </c>
      <c r="K56" s="49">
        <v>2.8</v>
      </c>
      <c r="L56" s="49">
        <v>18.559999999999999</v>
      </c>
      <c r="M56" s="46">
        <v>51.967999999999996</v>
      </c>
      <c r="N56" s="49">
        <v>20.78</v>
      </c>
      <c r="O56" s="50">
        <v>1</v>
      </c>
      <c r="P56" s="46">
        <f t="shared" ref="P56:P61" si="5">(M56+N56)*O56</f>
        <v>72.74799999999999</v>
      </c>
      <c r="Q56" s="43">
        <v>46398</v>
      </c>
      <c r="R56" s="43">
        <f>Q56+14</f>
        <v>46412</v>
      </c>
    </row>
    <row r="57" spans="1:18" x14ac:dyDescent="0.25">
      <c r="B57" s="47" t="s">
        <v>111</v>
      </c>
      <c r="C57" s="47" t="s">
        <v>55</v>
      </c>
      <c r="D57" s="47" t="s">
        <v>38</v>
      </c>
      <c r="E57" s="47" t="s">
        <v>108</v>
      </c>
      <c r="F57" s="47" t="s">
        <v>14</v>
      </c>
      <c r="G57" s="47" t="s">
        <v>20</v>
      </c>
      <c r="H57" s="47" t="str">
        <f>VLOOKUP(G57,DADOS!$B$22:$C$30,2,TRUE)</f>
        <v>Argamassa polimérica para impermeabilização + Membrana de polímero acrílico com cimento e fibras sintéticas</v>
      </c>
      <c r="I57" s="48" t="s">
        <v>16</v>
      </c>
      <c r="J57" s="48" t="s">
        <v>17</v>
      </c>
      <c r="K57" s="49">
        <v>2.8</v>
      </c>
      <c r="L57" s="49">
        <v>18.309999999999999</v>
      </c>
      <c r="M57" s="46">
        <v>51.267999999999994</v>
      </c>
      <c r="N57" s="49">
        <v>20.297999999999998</v>
      </c>
      <c r="O57" s="50">
        <v>1</v>
      </c>
      <c r="P57" s="46">
        <f t="shared" si="5"/>
        <v>71.565999999999988</v>
      </c>
      <c r="Q57" s="43">
        <v>46398</v>
      </c>
      <c r="R57" s="43">
        <f t="shared" ref="R57:R61" si="6">Q57+14</f>
        <v>46412</v>
      </c>
    </row>
    <row r="58" spans="1:18" x14ac:dyDescent="0.25">
      <c r="B58" s="47" t="s">
        <v>111</v>
      </c>
      <c r="C58" s="47" t="s">
        <v>55</v>
      </c>
      <c r="D58" s="47" t="s">
        <v>38</v>
      </c>
      <c r="E58" s="47" t="s">
        <v>109</v>
      </c>
      <c r="F58" s="47" t="s">
        <v>14</v>
      </c>
      <c r="G58" s="47" t="s">
        <v>142</v>
      </c>
      <c r="H58" s="47" t="str">
        <f>VLOOKUP(G58,DADOS!$B$22:$C$30,2,TRUE)</f>
        <v>Membrana impermeabilizante à base de epóxi poliamida</v>
      </c>
      <c r="I58" s="48" t="s">
        <v>16</v>
      </c>
      <c r="J58" s="48" t="s">
        <v>17</v>
      </c>
      <c r="K58" s="49">
        <v>2.8</v>
      </c>
      <c r="L58" s="49">
        <v>0</v>
      </c>
      <c r="M58" s="46">
        <v>0</v>
      </c>
      <c r="N58" s="49">
        <v>22.55</v>
      </c>
      <c r="O58" s="50">
        <v>1</v>
      </c>
      <c r="P58" s="46">
        <f t="shared" si="5"/>
        <v>22.55</v>
      </c>
      <c r="Q58" s="43">
        <v>46398</v>
      </c>
      <c r="R58" s="43">
        <f t="shared" si="6"/>
        <v>46412</v>
      </c>
    </row>
    <row r="59" spans="1:18" x14ac:dyDescent="0.25">
      <c r="B59" s="47" t="s">
        <v>112</v>
      </c>
      <c r="C59" s="47" t="s">
        <v>55</v>
      </c>
      <c r="D59" s="47" t="s">
        <v>38</v>
      </c>
      <c r="E59" s="47" t="s">
        <v>108</v>
      </c>
      <c r="F59" s="47" t="s">
        <v>14</v>
      </c>
      <c r="G59" s="47" t="s">
        <v>20</v>
      </c>
      <c r="H59" s="47" t="str">
        <f>VLOOKUP(G59,DADOS!$B$22:$C$30,2,TRUE)</f>
        <v>Argamassa polimérica para impermeabilização + Membrana de polímero acrílico com cimento e fibras sintéticas</v>
      </c>
      <c r="I59" s="48" t="s">
        <v>16</v>
      </c>
      <c r="J59" s="48" t="s">
        <v>17</v>
      </c>
      <c r="K59" s="49">
        <v>2.8</v>
      </c>
      <c r="L59" s="49">
        <v>22.61</v>
      </c>
      <c r="M59" s="46">
        <v>63.307999999999993</v>
      </c>
      <c r="N59" s="49">
        <v>22.55</v>
      </c>
      <c r="O59" s="50">
        <v>1</v>
      </c>
      <c r="P59" s="46">
        <f t="shared" si="5"/>
        <v>85.85799999999999</v>
      </c>
      <c r="Q59" s="43">
        <v>46398</v>
      </c>
      <c r="R59" s="43">
        <f t="shared" si="6"/>
        <v>46412</v>
      </c>
    </row>
    <row r="60" spans="1:18" x14ac:dyDescent="0.25">
      <c r="B60" s="47" t="s">
        <v>112</v>
      </c>
      <c r="C60" s="47" t="s">
        <v>55</v>
      </c>
      <c r="D60" s="47" t="s">
        <v>38</v>
      </c>
      <c r="E60" s="47" t="s">
        <v>109</v>
      </c>
      <c r="F60" s="47" t="s">
        <v>14</v>
      </c>
      <c r="G60" s="47" t="s">
        <v>142</v>
      </c>
      <c r="H60" s="47" t="str">
        <f>VLOOKUP(G60,DADOS!$B$22:$C$30,2,TRUE)</f>
        <v>Membrana impermeabilizante à base de epóxi poliamida</v>
      </c>
      <c r="I60" s="48" t="s">
        <v>16</v>
      </c>
      <c r="J60" s="48" t="s">
        <v>17</v>
      </c>
      <c r="K60" s="49">
        <v>2.8</v>
      </c>
      <c r="L60" s="49">
        <v>0</v>
      </c>
      <c r="M60" s="46">
        <v>0</v>
      </c>
      <c r="N60" s="49">
        <v>22.81</v>
      </c>
      <c r="O60" s="50">
        <v>1</v>
      </c>
      <c r="P60" s="46">
        <f t="shared" si="5"/>
        <v>22.81</v>
      </c>
      <c r="Q60" s="43">
        <v>46398</v>
      </c>
      <c r="R60" s="43">
        <f t="shared" si="6"/>
        <v>46412</v>
      </c>
    </row>
    <row r="61" spans="1:18" x14ac:dyDescent="0.25">
      <c r="B61" s="47" t="s">
        <v>112</v>
      </c>
      <c r="C61" s="47" t="s">
        <v>55</v>
      </c>
      <c r="D61" s="47" t="s">
        <v>38</v>
      </c>
      <c r="E61" s="47" t="s">
        <v>108</v>
      </c>
      <c r="F61" s="47" t="s">
        <v>14</v>
      </c>
      <c r="G61" s="47" t="s">
        <v>20</v>
      </c>
      <c r="H61" s="47" t="str">
        <f>VLOOKUP(G61,DADOS!$B$22:$C$30,2,TRUE)</f>
        <v>Argamassa polimérica para impermeabilização + Membrana de polímero acrílico com cimento e fibras sintéticas</v>
      </c>
      <c r="I61" s="48" t="s">
        <v>16</v>
      </c>
      <c r="J61" s="48" t="s">
        <v>17</v>
      </c>
      <c r="K61" s="49">
        <v>2.8</v>
      </c>
      <c r="L61" s="49">
        <v>22.61</v>
      </c>
      <c r="M61" s="46">
        <v>63.307999999999993</v>
      </c>
      <c r="N61" s="49">
        <v>22.55</v>
      </c>
      <c r="O61" s="50">
        <v>1</v>
      </c>
      <c r="P61" s="46">
        <f t="shared" si="5"/>
        <v>85.85799999999999</v>
      </c>
      <c r="Q61" s="43">
        <v>46398</v>
      </c>
      <c r="R61" s="43">
        <f t="shared" si="6"/>
        <v>46412</v>
      </c>
    </row>
    <row r="62" spans="1:18" x14ac:dyDescent="0.25">
      <c r="A62" s="29" t="s">
        <v>33</v>
      </c>
      <c r="O62" s="44" t="s">
        <v>143</v>
      </c>
      <c r="P62" s="51">
        <f>SUM(P4:P61)</f>
        <v>4225.8789743000007</v>
      </c>
    </row>
    <row r="119" spans="16:16" ht="15.75" thickBot="1" x14ac:dyDescent="0.3">
      <c r="P119" s="52">
        <f>SUBTOTAL(9,P4:P118)</f>
        <v>8451.7579486000013</v>
      </c>
    </row>
    <row r="159" spans="1:1" x14ac:dyDescent="0.25">
      <c r="A159" s="29" t="s">
        <v>33</v>
      </c>
    </row>
  </sheetData>
  <mergeCells count="3">
    <mergeCell ref="K2:M2"/>
    <mergeCell ref="B2:J2"/>
    <mergeCell ref="Q2:R2"/>
  </mergeCells>
  <phoneticPr fontId="5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56DE9-12A2-4393-8B17-1863FCA006F0}">
  <dimension ref="B2:L134"/>
  <sheetViews>
    <sheetView showGridLines="0" workbookViewId="0">
      <selection activeCell="C101" sqref="C101"/>
    </sheetView>
  </sheetViews>
  <sheetFormatPr defaultRowHeight="15" x14ac:dyDescent="0.25"/>
  <cols>
    <col min="2" max="2" width="18.5703125" bestFit="1" customWidth="1"/>
    <col min="3" max="3" width="27" bestFit="1" customWidth="1"/>
    <col min="4" max="4" width="13.85546875" bestFit="1" customWidth="1"/>
    <col min="5" max="5" width="16.85546875" style="29" customWidth="1"/>
    <col min="6" max="6" width="13.5703125" bestFit="1" customWidth="1"/>
    <col min="7" max="7" width="16.5703125" bestFit="1" customWidth="1"/>
    <col min="8" max="8" width="13.5703125" bestFit="1" customWidth="1"/>
    <col min="9" max="9" width="13.5703125" customWidth="1"/>
    <col min="10" max="10" width="20.140625" bestFit="1" customWidth="1"/>
    <col min="11" max="11" width="20.140625" style="25" customWidth="1"/>
    <col min="12" max="12" width="25.7109375" customWidth="1"/>
  </cols>
  <sheetData>
    <row r="2" spans="2:12" ht="15.75" thickBot="1" x14ac:dyDescent="0.3"/>
    <row r="3" spans="2:12" s="10" customFormat="1" ht="25.5" customHeight="1" thickBot="1" x14ac:dyDescent="0.3">
      <c r="B3" s="61" t="s">
        <v>29</v>
      </c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2:12" x14ac:dyDescent="0.25">
      <c r="B4" s="4" t="s">
        <v>0</v>
      </c>
      <c r="C4" s="3" t="s">
        <v>1</v>
      </c>
      <c r="D4" s="3" t="s">
        <v>21</v>
      </c>
      <c r="E4" s="3" t="s">
        <v>22</v>
      </c>
      <c r="F4" s="3" t="s">
        <v>23</v>
      </c>
      <c r="G4" s="3" t="s">
        <v>19</v>
      </c>
      <c r="H4" s="1" t="s">
        <v>24</v>
      </c>
      <c r="I4" s="1" t="s">
        <v>25</v>
      </c>
      <c r="J4" s="1" t="s">
        <v>26</v>
      </c>
      <c r="K4" s="26" t="s">
        <v>28</v>
      </c>
      <c r="L4" s="9" t="s">
        <v>27</v>
      </c>
    </row>
    <row r="5" spans="2:12" x14ac:dyDescent="0.25">
      <c r="B5" s="22" t="s">
        <v>37</v>
      </c>
      <c r="C5" s="23" t="s">
        <v>36</v>
      </c>
      <c r="D5" s="23" t="s">
        <v>56</v>
      </c>
      <c r="E5" s="30" t="s">
        <v>104</v>
      </c>
      <c r="F5" s="7">
        <v>5</v>
      </c>
      <c r="G5" s="7">
        <v>1</v>
      </c>
      <c r="H5" s="7">
        <f>G5*F5</f>
        <v>5</v>
      </c>
      <c r="I5" s="7">
        <f>VLOOKUP(D5,'[1]RESUMO ESQ. '!$E$6:$L$71,5,FALSE)</f>
        <v>0.5</v>
      </c>
      <c r="J5" s="7">
        <f>VLOOKUP(D5,'[1]RESUMO ESQ. '!$E$6:$L$71,6,FALSE)</f>
        <v>0.61</v>
      </c>
      <c r="K5" s="27">
        <v>0.19</v>
      </c>
      <c r="L5" s="12">
        <f>((I5*K5)+(2*0.1*K5))*H5</f>
        <v>0.66500000000000004</v>
      </c>
    </row>
    <row r="6" spans="2:12" x14ac:dyDescent="0.25">
      <c r="B6" s="22" t="s">
        <v>37</v>
      </c>
      <c r="C6" s="23" t="s">
        <v>36</v>
      </c>
      <c r="D6" s="23" t="s">
        <v>57</v>
      </c>
      <c r="E6" s="30" t="s">
        <v>104</v>
      </c>
      <c r="F6" s="7">
        <v>1</v>
      </c>
      <c r="G6" s="7">
        <v>1</v>
      </c>
      <c r="H6" s="7">
        <f t="shared" ref="H6:H77" si="0">G6*F6</f>
        <v>1</v>
      </c>
      <c r="I6" s="7">
        <f>VLOOKUP(D6,'[1]RESUMO ESQ. '!$E$6:$L$71,5,FALSE)</f>
        <v>1.1000000000000001</v>
      </c>
      <c r="J6" s="7">
        <f>VLOOKUP(D6,'[1]RESUMO ESQ. '!$E$6:$L$71,6,FALSE)</f>
        <v>0.8</v>
      </c>
      <c r="K6" s="27">
        <v>0.19</v>
      </c>
      <c r="L6" s="12">
        <f t="shared" ref="L6:L69" si="1">((I6*K6)+(2*0.1*K6))*H6</f>
        <v>0.24700000000000003</v>
      </c>
    </row>
    <row r="7" spans="2:12" x14ac:dyDescent="0.25">
      <c r="B7" s="22" t="s">
        <v>37</v>
      </c>
      <c r="C7" s="23" t="s">
        <v>36</v>
      </c>
      <c r="D7" s="23" t="s">
        <v>58</v>
      </c>
      <c r="E7" s="30" t="s">
        <v>104</v>
      </c>
      <c r="F7" s="7">
        <v>2</v>
      </c>
      <c r="G7" s="7">
        <v>1</v>
      </c>
      <c r="H7" s="7">
        <f t="shared" si="0"/>
        <v>2</v>
      </c>
      <c r="I7" s="7">
        <f>VLOOKUP(D7,'[1]RESUMO ESQ. '!$E$6:$L$71,5,FALSE)</f>
        <v>2</v>
      </c>
      <c r="J7" s="7">
        <f>VLOOKUP(D7,'[1]RESUMO ESQ. '!$E$6:$L$71,6,FALSE)</f>
        <v>1.4</v>
      </c>
      <c r="K7" s="27">
        <v>0.19</v>
      </c>
      <c r="L7" s="12">
        <f t="shared" si="1"/>
        <v>0.83600000000000008</v>
      </c>
    </row>
    <row r="8" spans="2:12" x14ac:dyDescent="0.25">
      <c r="B8" s="22" t="s">
        <v>37</v>
      </c>
      <c r="C8" s="23" t="s">
        <v>36</v>
      </c>
      <c r="D8" s="23" t="s">
        <v>59</v>
      </c>
      <c r="E8" s="30" t="s">
        <v>104</v>
      </c>
      <c r="F8" s="7">
        <v>1</v>
      </c>
      <c r="G8" s="7">
        <v>1</v>
      </c>
      <c r="H8" s="7">
        <f t="shared" si="0"/>
        <v>1</v>
      </c>
      <c r="I8" s="7">
        <f>VLOOKUP(D8,'[1]RESUMO ESQ. '!$E$6:$L$71,5,FALSE)</f>
        <v>5</v>
      </c>
      <c r="J8" s="7">
        <f>VLOOKUP(D8,'[1]RESUMO ESQ. '!$E$6:$L$71,6,FALSE)</f>
        <v>2.0499999999999998</v>
      </c>
      <c r="K8" s="27">
        <v>0.19</v>
      </c>
      <c r="L8" s="12">
        <f t="shared" si="1"/>
        <v>0.98799999999999999</v>
      </c>
    </row>
    <row r="9" spans="2:12" x14ac:dyDescent="0.25">
      <c r="B9" s="22" t="s">
        <v>37</v>
      </c>
      <c r="C9" s="23" t="s">
        <v>36</v>
      </c>
      <c r="D9" s="24" t="s">
        <v>87</v>
      </c>
      <c r="E9" s="30" t="s">
        <v>105</v>
      </c>
      <c r="F9" s="7">
        <v>2</v>
      </c>
      <c r="G9" s="7">
        <v>1</v>
      </c>
      <c r="H9" s="7">
        <f t="shared" si="0"/>
        <v>2</v>
      </c>
      <c r="I9" s="7">
        <f>VLOOKUP(D9,'[1]RESUMO ESQ. '!$E$6:$L$71,5,FALSE)</f>
        <v>1.86</v>
      </c>
      <c r="J9" s="7">
        <f>VLOOKUP(D9,'[1]RESUMO ESQ. '!$E$6:$L$71,6,FALSE)</f>
        <v>2.5</v>
      </c>
      <c r="K9" s="27">
        <v>0.19</v>
      </c>
      <c r="L9" s="12">
        <f t="shared" si="1"/>
        <v>0.78280000000000016</v>
      </c>
    </row>
    <row r="10" spans="2:12" x14ac:dyDescent="0.25">
      <c r="B10" s="22" t="s">
        <v>37</v>
      </c>
      <c r="C10" s="23" t="s">
        <v>36</v>
      </c>
      <c r="D10" s="23" t="s">
        <v>90</v>
      </c>
      <c r="E10" s="30" t="s">
        <v>105</v>
      </c>
      <c r="F10" s="7">
        <v>1</v>
      </c>
      <c r="G10" s="7">
        <v>1</v>
      </c>
      <c r="H10" s="7">
        <f t="shared" si="0"/>
        <v>1</v>
      </c>
      <c r="I10" s="7">
        <f>VLOOKUP(D10,'[1]RESUMO ESQ. '!$E$6:$L$71,5,FALSE)</f>
        <v>3</v>
      </c>
      <c r="J10" s="7">
        <f>VLOOKUP(D10,'[1]RESUMO ESQ. '!$E$6:$L$71,6,FALSE)</f>
        <v>2.1</v>
      </c>
      <c r="K10" s="27">
        <v>0.19</v>
      </c>
      <c r="L10" s="12">
        <f t="shared" si="1"/>
        <v>0.6080000000000001</v>
      </c>
    </row>
    <row r="11" spans="2:12" x14ac:dyDescent="0.25">
      <c r="B11" s="22" t="s">
        <v>37</v>
      </c>
      <c r="C11" s="23" t="s">
        <v>36</v>
      </c>
      <c r="D11" s="23" t="s">
        <v>92</v>
      </c>
      <c r="E11" s="30" t="s">
        <v>105</v>
      </c>
      <c r="F11" s="7">
        <v>2</v>
      </c>
      <c r="G11" s="7">
        <v>1</v>
      </c>
      <c r="H11" s="7">
        <f t="shared" si="0"/>
        <v>2</v>
      </c>
      <c r="I11" s="7">
        <f>VLOOKUP(D11,'[1]RESUMO ESQ. '!$E$6:$L$71,5,FALSE)</f>
        <v>0.96</v>
      </c>
      <c r="J11" s="7">
        <f>VLOOKUP(D11,'[1]RESUMO ESQ. '!$E$6:$L$71,6,FALSE)</f>
        <v>2.5</v>
      </c>
      <c r="K11" s="27">
        <v>0.19</v>
      </c>
      <c r="L11" s="12">
        <f t="shared" si="1"/>
        <v>0.44080000000000003</v>
      </c>
    </row>
    <row r="12" spans="2:12" x14ac:dyDescent="0.25">
      <c r="B12" s="22" t="s">
        <v>37</v>
      </c>
      <c r="C12" s="23" t="s">
        <v>36</v>
      </c>
      <c r="D12" s="23" t="s">
        <v>63</v>
      </c>
      <c r="E12" s="30" t="s">
        <v>105</v>
      </c>
      <c r="F12" s="7">
        <v>4</v>
      </c>
      <c r="G12" s="7">
        <v>1</v>
      </c>
      <c r="H12" s="7">
        <f t="shared" si="0"/>
        <v>4</v>
      </c>
      <c r="I12" s="7">
        <f>VLOOKUP(D12,'[1]RESUMO ESQ. '!$E$6:$L$71,5,FALSE)</f>
        <v>0.96</v>
      </c>
      <c r="J12" s="7">
        <f>VLOOKUP(D12,'[1]RESUMO ESQ. '!$E$6:$L$71,6,FALSE)</f>
        <v>2.13</v>
      </c>
      <c r="K12" s="27">
        <v>0.20499999999999999</v>
      </c>
      <c r="L12" s="12">
        <f t="shared" si="1"/>
        <v>0.95119999999999993</v>
      </c>
    </row>
    <row r="13" spans="2:12" x14ac:dyDescent="0.25">
      <c r="B13" s="22" t="s">
        <v>37</v>
      </c>
      <c r="C13" s="23" t="s">
        <v>36</v>
      </c>
      <c r="D13" s="23" t="s">
        <v>93</v>
      </c>
      <c r="E13" s="30" t="s">
        <v>105</v>
      </c>
      <c r="F13" s="7">
        <v>1</v>
      </c>
      <c r="G13" s="7">
        <v>1</v>
      </c>
      <c r="H13" s="7">
        <f t="shared" ref="H13" si="2">G13*F13</f>
        <v>1</v>
      </c>
      <c r="I13" s="7">
        <f>VLOOKUP(D13,'[1]RESUMO ESQ. '!$E$6:$L$71,5,FALSE)</f>
        <v>1.06</v>
      </c>
      <c r="J13" s="7">
        <f>VLOOKUP(D13,'[1]RESUMO ESQ. '!$E$6:$L$71,6,FALSE)</f>
        <v>2.13</v>
      </c>
      <c r="K13" s="27">
        <v>0.20499999999999999</v>
      </c>
      <c r="L13" s="12">
        <f t="shared" si="1"/>
        <v>0.25829999999999997</v>
      </c>
    </row>
    <row r="14" spans="2:12" x14ac:dyDescent="0.25">
      <c r="B14" s="22" t="s">
        <v>37</v>
      </c>
      <c r="C14" s="23" t="s">
        <v>36</v>
      </c>
      <c r="D14" s="23" t="s">
        <v>64</v>
      </c>
      <c r="E14" s="30" t="s">
        <v>105</v>
      </c>
      <c r="F14" s="7">
        <v>1</v>
      </c>
      <c r="G14" s="7">
        <v>1</v>
      </c>
      <c r="H14" s="7">
        <f t="shared" si="0"/>
        <v>1</v>
      </c>
      <c r="I14" s="7">
        <f>VLOOKUP(D14,'[1]RESUMO ESQ. '!$E$6:$L$71,5,FALSE)</f>
        <v>0.86</v>
      </c>
      <c r="J14" s="7">
        <f>VLOOKUP(D14,'[1]RESUMO ESQ. '!$E$6:$L$71,6,FALSE)</f>
        <v>2.13</v>
      </c>
      <c r="K14" s="27">
        <v>0.20499999999999999</v>
      </c>
      <c r="L14" s="12">
        <f t="shared" si="1"/>
        <v>0.21729999999999999</v>
      </c>
    </row>
    <row r="15" spans="2:12" x14ac:dyDescent="0.25">
      <c r="B15" s="22" t="s">
        <v>37</v>
      </c>
      <c r="C15" s="23" t="s">
        <v>36</v>
      </c>
      <c r="D15" s="23" t="s">
        <v>123</v>
      </c>
      <c r="E15" s="30" t="s">
        <v>105</v>
      </c>
      <c r="F15" s="7">
        <v>1</v>
      </c>
      <c r="G15" s="7">
        <v>1</v>
      </c>
      <c r="H15" s="7">
        <f t="shared" ref="H15" si="3">G15*F15</f>
        <v>1</v>
      </c>
      <c r="I15" s="7">
        <f>VLOOKUP(D15,'[1]RESUMO ESQ. '!$E$6:$L$71,5,FALSE)</f>
        <v>0.96</v>
      </c>
      <c r="J15" s="7">
        <f>VLOOKUP(D15,'[1]RESUMO ESQ. '!$E$6:$L$71,6,FALSE)</f>
        <v>2.13</v>
      </c>
      <c r="K15" s="27">
        <v>0.20499999999999999</v>
      </c>
      <c r="L15" s="12">
        <f t="shared" si="1"/>
        <v>0.23779999999999998</v>
      </c>
    </row>
    <row r="16" spans="2:12" x14ac:dyDescent="0.25">
      <c r="B16" s="22" t="s">
        <v>37</v>
      </c>
      <c r="C16" s="23" t="s">
        <v>36</v>
      </c>
      <c r="D16" s="23" t="s">
        <v>65</v>
      </c>
      <c r="E16" s="30" t="s">
        <v>105</v>
      </c>
      <c r="F16" s="7">
        <v>2</v>
      </c>
      <c r="G16" s="7">
        <v>1</v>
      </c>
      <c r="H16" s="7">
        <f t="shared" si="0"/>
        <v>2</v>
      </c>
      <c r="I16" s="7">
        <f>VLOOKUP(D16,'[1]RESUMO ESQ. '!$E$6:$L$71,5,FALSE)</f>
        <v>0.6</v>
      </c>
      <c r="J16" s="7">
        <f>VLOOKUP(D16,'[1]RESUMO ESQ. '!$E$6:$L$71,6,FALSE)</f>
        <v>2.1</v>
      </c>
      <c r="K16" s="27">
        <v>0.19</v>
      </c>
      <c r="L16" s="12">
        <f t="shared" si="1"/>
        <v>0.30399999999999999</v>
      </c>
    </row>
    <row r="17" spans="2:12" x14ac:dyDescent="0.25">
      <c r="B17" s="22" t="s">
        <v>37</v>
      </c>
      <c r="C17" s="23" t="s">
        <v>36</v>
      </c>
      <c r="D17" s="24" t="s">
        <v>66</v>
      </c>
      <c r="E17" s="30" t="s">
        <v>105</v>
      </c>
      <c r="F17" s="7">
        <v>2</v>
      </c>
      <c r="G17" s="7">
        <v>1</v>
      </c>
      <c r="H17" s="7">
        <f t="shared" si="0"/>
        <v>2</v>
      </c>
      <c r="I17" s="7">
        <f>VLOOKUP(D17,'[1]RESUMO ESQ. '!$E$6:$L$71,5,FALSE)</f>
        <v>0.7</v>
      </c>
      <c r="J17" s="7">
        <f>VLOOKUP(D17,'[1]RESUMO ESQ. '!$E$6:$L$71,6,FALSE)</f>
        <v>2.1</v>
      </c>
      <c r="K17" s="27">
        <v>0.19</v>
      </c>
      <c r="L17" s="12">
        <f t="shared" si="1"/>
        <v>0.34199999999999997</v>
      </c>
    </row>
    <row r="18" spans="2:12" x14ac:dyDescent="0.25">
      <c r="B18" s="22" t="s">
        <v>37</v>
      </c>
      <c r="C18" s="23" t="s">
        <v>36</v>
      </c>
      <c r="D18" s="24" t="s">
        <v>67</v>
      </c>
      <c r="E18" s="30" t="s">
        <v>105</v>
      </c>
      <c r="F18" s="7">
        <v>2</v>
      </c>
      <c r="G18" s="7">
        <v>1</v>
      </c>
      <c r="H18" s="7">
        <f t="shared" si="0"/>
        <v>2</v>
      </c>
      <c r="I18" s="7">
        <f>VLOOKUP(D18,'[1]RESUMO ESQ. '!$E$6:$L$71,5,FALSE)</f>
        <v>0.8</v>
      </c>
      <c r="J18" s="7">
        <f>VLOOKUP(D18,'[1]RESUMO ESQ. '!$E$6:$L$71,6,FALSE)</f>
        <v>2.1</v>
      </c>
      <c r="K18" s="27">
        <v>0.19</v>
      </c>
      <c r="L18" s="12">
        <f t="shared" si="1"/>
        <v>0.38000000000000006</v>
      </c>
    </row>
    <row r="19" spans="2:12" x14ac:dyDescent="0.25">
      <c r="B19" s="22" t="s">
        <v>37</v>
      </c>
      <c r="C19" s="23" t="s">
        <v>36</v>
      </c>
      <c r="D19" s="24" t="s">
        <v>68</v>
      </c>
      <c r="E19" s="30" t="s">
        <v>105</v>
      </c>
      <c r="F19" s="7">
        <v>7</v>
      </c>
      <c r="G19" s="7">
        <v>1</v>
      </c>
      <c r="H19" s="7">
        <f t="shared" si="0"/>
        <v>7</v>
      </c>
      <c r="I19" s="7">
        <f>VLOOKUP(D19,'[1]RESUMO ESQ. '!$E$6:$L$71,5,FALSE)</f>
        <v>0.9</v>
      </c>
      <c r="J19" s="7">
        <f>VLOOKUP(D19,'[1]RESUMO ESQ. '!$E$6:$L$71,6,FALSE)</f>
        <v>2.1</v>
      </c>
      <c r="K19" s="27">
        <v>0.19</v>
      </c>
      <c r="L19" s="12">
        <f t="shared" si="1"/>
        <v>1.4630000000000001</v>
      </c>
    </row>
    <row r="20" spans="2:12" x14ac:dyDescent="0.25">
      <c r="B20" s="22" t="s">
        <v>37</v>
      </c>
      <c r="C20" s="23" t="s">
        <v>36</v>
      </c>
      <c r="D20" s="24" t="s">
        <v>70</v>
      </c>
      <c r="E20" s="30" t="s">
        <v>106</v>
      </c>
      <c r="F20" s="7">
        <v>2</v>
      </c>
      <c r="G20" s="7">
        <v>1</v>
      </c>
      <c r="H20" s="7">
        <f t="shared" si="0"/>
        <v>2</v>
      </c>
      <c r="I20" s="7">
        <f>VLOOKUP(D20,'[1]RESUMO ESQ. '!$E$6:$L$71,5,FALSE)</f>
        <v>5</v>
      </c>
      <c r="J20" s="7">
        <f>VLOOKUP(D20,'[1]RESUMO ESQ. '!$E$6:$L$71,6,FALSE)</f>
        <v>2.5</v>
      </c>
      <c r="K20" s="27">
        <v>0.19</v>
      </c>
      <c r="L20" s="12">
        <f t="shared" si="1"/>
        <v>1.976</v>
      </c>
    </row>
    <row r="21" spans="2:12" x14ac:dyDescent="0.25">
      <c r="B21" s="22" t="s">
        <v>37</v>
      </c>
      <c r="C21" s="23" t="s">
        <v>36</v>
      </c>
      <c r="D21" s="24" t="s">
        <v>99</v>
      </c>
      <c r="E21" s="30" t="str">
        <f>VLOOKUP(D21,'[1]RESUMO ESQ. '!$E$5:$L$76,2,FALSE)</f>
        <v>PORTA</v>
      </c>
      <c r="F21" s="7">
        <v>1</v>
      </c>
      <c r="G21" s="7">
        <v>1</v>
      </c>
      <c r="H21" s="7">
        <f t="shared" ref="H21:H34" si="4">F21*G21</f>
        <v>1</v>
      </c>
      <c r="I21" s="7">
        <f>VLOOKUP(D21,'[1]RESUMO ESQ. '!$E$6:$L$71,5,FALSE)</f>
        <v>0.7</v>
      </c>
      <c r="J21" s="7">
        <f>VLOOKUP(D21,'[1]RESUMO ESQ. '!$E$6:$L$71,6,FALSE)</f>
        <v>2.1</v>
      </c>
      <c r="K21" s="27">
        <v>0.19</v>
      </c>
      <c r="L21" s="12">
        <f t="shared" si="1"/>
        <v>0.17099999999999999</v>
      </c>
    </row>
    <row r="22" spans="2:12" x14ac:dyDescent="0.25">
      <c r="B22" s="22" t="s">
        <v>37</v>
      </c>
      <c r="C22" s="23" t="s">
        <v>36</v>
      </c>
      <c r="D22" s="24" t="s">
        <v>72</v>
      </c>
      <c r="E22" s="30" t="str">
        <f>VLOOKUP(D22,'[1]RESUMO ESQ. '!$E$5:$L$76,2,FALSE)</f>
        <v>PORTA</v>
      </c>
      <c r="F22" s="7">
        <v>1</v>
      </c>
      <c r="G22" s="7">
        <v>1</v>
      </c>
      <c r="H22" s="7">
        <f t="shared" si="4"/>
        <v>1</v>
      </c>
      <c r="I22" s="7">
        <f>VLOOKUP(D22,'[1]RESUMO ESQ. '!$E$6:$L$71,5,FALSE)</f>
        <v>0.7</v>
      </c>
      <c r="J22" s="7">
        <f>VLOOKUP(D22,'[1]RESUMO ESQ. '!$E$6:$L$71,6,FALSE)</f>
        <v>0.9</v>
      </c>
      <c r="K22" s="27">
        <v>0.19</v>
      </c>
      <c r="L22" s="12">
        <f t="shared" si="1"/>
        <v>0.17099999999999999</v>
      </c>
    </row>
    <row r="23" spans="2:12" x14ac:dyDescent="0.25">
      <c r="B23" s="22" t="s">
        <v>37</v>
      </c>
      <c r="C23" s="23" t="s">
        <v>36</v>
      </c>
      <c r="D23" s="24" t="s">
        <v>124</v>
      </c>
      <c r="E23" s="30" t="str">
        <f>VLOOKUP(D23,'[1]RESUMO ESQ. '!$E$5:$L$76,2,FALSE)</f>
        <v>PORTA</v>
      </c>
      <c r="F23" s="7">
        <v>1</v>
      </c>
      <c r="G23" s="7">
        <v>1</v>
      </c>
      <c r="H23" s="7">
        <f t="shared" si="4"/>
        <v>1</v>
      </c>
      <c r="I23" s="7">
        <f>VLOOKUP(D23,'[1]RESUMO ESQ. '!$E$6:$L$71,5,FALSE)</f>
        <v>1</v>
      </c>
      <c r="J23" s="7">
        <f>VLOOKUP(D23,'[1]RESUMO ESQ. '!$E$6:$L$71,6,FALSE)</f>
        <v>2.1</v>
      </c>
      <c r="K23" s="27">
        <v>0.16500000000000001</v>
      </c>
      <c r="L23" s="12">
        <f t="shared" si="1"/>
        <v>0.19800000000000001</v>
      </c>
    </row>
    <row r="24" spans="2:12" x14ac:dyDescent="0.25">
      <c r="B24" s="22" t="s">
        <v>37</v>
      </c>
      <c r="C24" s="23" t="s">
        <v>36</v>
      </c>
      <c r="D24" s="24" t="s">
        <v>125</v>
      </c>
      <c r="E24" s="30" t="str">
        <f>VLOOKUP(D24,'[1]RESUMO ESQ. '!$E$5:$L$76,2,FALSE)</f>
        <v>PORTA</v>
      </c>
      <c r="F24" s="7">
        <v>4</v>
      </c>
      <c r="G24" s="7">
        <v>1</v>
      </c>
      <c r="H24" s="7">
        <f t="shared" si="4"/>
        <v>4</v>
      </c>
      <c r="I24" s="7">
        <f>VLOOKUP(D24,'[1]RESUMO ESQ. '!$E$6:$L$71,5,FALSE)</f>
        <v>1</v>
      </c>
      <c r="J24" s="7">
        <f>VLOOKUP(D24,'[1]RESUMO ESQ. '!$E$6:$L$71,6,FALSE)</f>
        <v>2.1</v>
      </c>
      <c r="K24" s="27">
        <v>0.20499999999999999</v>
      </c>
      <c r="L24" s="12">
        <f t="shared" si="1"/>
        <v>0.98399999999999999</v>
      </c>
    </row>
    <row r="25" spans="2:12" x14ac:dyDescent="0.25">
      <c r="B25" s="22" t="s">
        <v>37</v>
      </c>
      <c r="C25" s="23" t="s">
        <v>36</v>
      </c>
      <c r="D25" s="24" t="s">
        <v>126</v>
      </c>
      <c r="E25" s="30" t="str">
        <f>VLOOKUP(D25,'[1]RESUMO ESQ. '!$E$5:$L$76,2,FALSE)</f>
        <v>PORTA</v>
      </c>
      <c r="F25" s="7">
        <v>1</v>
      </c>
      <c r="G25" s="7">
        <v>1</v>
      </c>
      <c r="H25" s="7">
        <f t="shared" si="4"/>
        <v>1</v>
      </c>
      <c r="I25" s="7">
        <f>VLOOKUP(D25,'[1]RESUMO ESQ. '!$E$6:$L$71,5,FALSE)</f>
        <v>1.5</v>
      </c>
      <c r="J25" s="7">
        <f>VLOOKUP(D25,'[1]RESUMO ESQ. '!$E$6:$L$71,6,FALSE)</f>
        <v>2.1</v>
      </c>
      <c r="K25" s="27">
        <v>0.19</v>
      </c>
      <c r="L25" s="12">
        <f t="shared" si="1"/>
        <v>0.32300000000000006</v>
      </c>
    </row>
    <row r="26" spans="2:12" x14ac:dyDescent="0.25">
      <c r="B26" s="22" t="s">
        <v>37</v>
      </c>
      <c r="C26" s="23" t="s">
        <v>36</v>
      </c>
      <c r="D26" s="24" t="s">
        <v>127</v>
      </c>
      <c r="E26" s="30" t="str">
        <f>VLOOKUP(D26,'[1]RESUMO ESQ. '!$E$5:$L$76,2,FALSE)</f>
        <v>PORTA</v>
      </c>
      <c r="F26" s="7">
        <v>3</v>
      </c>
      <c r="G26" s="7">
        <v>1</v>
      </c>
      <c r="H26" s="7">
        <f t="shared" si="4"/>
        <v>3</v>
      </c>
      <c r="I26" s="7">
        <f>VLOOKUP(D26,'[1]RESUMO ESQ. '!$E$6:$L$71,5,FALSE)</f>
        <v>1.8</v>
      </c>
      <c r="J26" s="7">
        <f>VLOOKUP(D26,'[1]RESUMO ESQ. '!$E$6:$L$71,6,FALSE)</f>
        <v>2.1</v>
      </c>
      <c r="K26" s="27">
        <v>0.20499999999999999</v>
      </c>
      <c r="L26" s="12">
        <f t="shared" si="1"/>
        <v>1.23</v>
      </c>
    </row>
    <row r="27" spans="2:12" x14ac:dyDescent="0.25">
      <c r="B27" s="22" t="s">
        <v>37</v>
      </c>
      <c r="C27" s="23" t="s">
        <v>36</v>
      </c>
      <c r="D27" s="24" t="s">
        <v>128</v>
      </c>
      <c r="E27" s="30" t="str">
        <f>VLOOKUP(D27,'[1]RESUMO ESQ. '!$E$5:$L$76,2,FALSE)</f>
        <v>PORTA</v>
      </c>
      <c r="F27" s="7">
        <v>1</v>
      </c>
      <c r="G27" s="7">
        <v>1</v>
      </c>
      <c r="H27" s="7">
        <f t="shared" si="4"/>
        <v>1</v>
      </c>
      <c r="I27" s="7">
        <f>VLOOKUP(D27,'[1]RESUMO ESQ. '!$E$6:$L$71,5,FALSE)</f>
        <v>1.9</v>
      </c>
      <c r="J27" s="7">
        <f>VLOOKUP(D27,'[1]RESUMO ESQ. '!$E$6:$L$71,6,FALSE)</f>
        <v>0.95</v>
      </c>
      <c r="K27" s="27">
        <v>0.18</v>
      </c>
      <c r="L27" s="12">
        <f t="shared" si="1"/>
        <v>0.37799999999999995</v>
      </c>
    </row>
    <row r="28" spans="2:12" x14ac:dyDescent="0.25">
      <c r="B28" s="22" t="s">
        <v>37</v>
      </c>
      <c r="C28" s="23" t="s">
        <v>36</v>
      </c>
      <c r="D28" s="24" t="s">
        <v>98</v>
      </c>
      <c r="E28" s="30" t="str">
        <f>VLOOKUP(D28,'[1]RESUMO ESQ. '!$E$5:$L$76,2,FALSE)</f>
        <v>VENEZIANA</v>
      </c>
      <c r="F28" s="7">
        <v>1</v>
      </c>
      <c r="G28" s="7">
        <v>1</v>
      </c>
      <c r="H28" s="7">
        <f t="shared" ref="H28" si="5">F28*G28</f>
        <v>1</v>
      </c>
      <c r="I28" s="7">
        <f>VLOOKUP(D28,'[1]RESUMO ESQ. '!$E$6:$L$71,5,FALSE)</f>
        <v>0.25</v>
      </c>
      <c r="J28" s="7">
        <f>VLOOKUP(D28,'[1]RESUMO ESQ. '!$E$6:$L$71,6,FALSE)</f>
        <v>0.25</v>
      </c>
      <c r="K28" s="27">
        <v>0.19</v>
      </c>
      <c r="L28" s="12">
        <f t="shared" si="1"/>
        <v>8.5500000000000007E-2</v>
      </c>
    </row>
    <row r="29" spans="2:12" x14ac:dyDescent="0.25">
      <c r="B29" s="22" t="s">
        <v>37</v>
      </c>
      <c r="C29" s="23" t="s">
        <v>36</v>
      </c>
      <c r="D29" s="24" t="s">
        <v>75</v>
      </c>
      <c r="E29" s="30" t="str">
        <f>VLOOKUP(D29,'[1]RESUMO ESQ. '!$E$5:$L$76,2,FALSE)</f>
        <v>VENEZIANA</v>
      </c>
      <c r="F29" s="7">
        <v>1</v>
      </c>
      <c r="G29" s="7">
        <v>1</v>
      </c>
      <c r="H29" s="7">
        <f t="shared" si="4"/>
        <v>1</v>
      </c>
      <c r="I29" s="7">
        <f>VLOOKUP(D29,'[1]RESUMO ESQ. '!$E$6:$L$71,5,FALSE)</f>
        <v>0.3</v>
      </c>
      <c r="J29" s="7">
        <f>VLOOKUP(D29,'[1]RESUMO ESQ. '!$E$6:$L$71,6,FALSE)</f>
        <v>0.5</v>
      </c>
      <c r="K29" s="27">
        <v>0.21</v>
      </c>
      <c r="L29" s="12">
        <f t="shared" si="1"/>
        <v>0.10500000000000001</v>
      </c>
    </row>
    <row r="30" spans="2:12" x14ac:dyDescent="0.25">
      <c r="B30" s="22" t="s">
        <v>137</v>
      </c>
      <c r="C30" s="23" t="s">
        <v>36</v>
      </c>
      <c r="D30" s="24" t="s">
        <v>118</v>
      </c>
      <c r="E30" s="30" t="str">
        <f>VLOOKUP(D30,'[1]RESUMO ESQ. '!$E$5:$L$76,2,FALSE)</f>
        <v>PORTA</v>
      </c>
      <c r="F30" s="7">
        <v>1</v>
      </c>
      <c r="G30" s="7">
        <v>1</v>
      </c>
      <c r="H30" s="7">
        <f t="shared" si="4"/>
        <v>1</v>
      </c>
      <c r="I30" s="7">
        <f>VLOOKUP(D30,'[1]RESUMO ESQ. '!$E$6:$L$71,5,FALSE)</f>
        <v>1.2</v>
      </c>
      <c r="J30" s="7">
        <f>VLOOKUP(D30,'[1]RESUMO ESQ. '!$E$6:$L$71,6,FALSE)</f>
        <v>2.1</v>
      </c>
      <c r="K30" s="27">
        <v>0.19</v>
      </c>
      <c r="L30" s="12">
        <f t="shared" si="1"/>
        <v>0.26600000000000001</v>
      </c>
    </row>
    <row r="31" spans="2:12" x14ac:dyDescent="0.25">
      <c r="B31" s="22" t="s">
        <v>137</v>
      </c>
      <c r="C31" s="23" t="s">
        <v>36</v>
      </c>
      <c r="D31" s="24" t="s">
        <v>117</v>
      </c>
      <c r="E31" s="30" t="str">
        <f>VLOOKUP(D31,'[1]RESUMO ESQ. '!$E$5:$L$76,2,FALSE)</f>
        <v>VENEZIANA</v>
      </c>
      <c r="F31" s="7">
        <v>3</v>
      </c>
      <c r="G31" s="7">
        <v>1</v>
      </c>
      <c r="H31" s="7">
        <f t="shared" si="4"/>
        <v>3</v>
      </c>
      <c r="I31" s="7">
        <f>VLOOKUP(D31,'[1]RESUMO ESQ. '!$E$6:$L$71,5,FALSE)</f>
        <v>3</v>
      </c>
      <c r="J31" s="7">
        <f>VLOOKUP(D31,'[1]RESUMO ESQ. '!$E$6:$L$71,6,FALSE)</f>
        <v>1.8</v>
      </c>
      <c r="K31" s="27">
        <v>0.19</v>
      </c>
      <c r="L31" s="12">
        <f t="shared" si="1"/>
        <v>1.8240000000000003</v>
      </c>
    </row>
    <row r="32" spans="2:12" x14ac:dyDescent="0.25">
      <c r="B32" s="22" t="s">
        <v>137</v>
      </c>
      <c r="C32" s="23" t="s">
        <v>36</v>
      </c>
      <c r="D32" s="24" t="s">
        <v>63</v>
      </c>
      <c r="E32" s="30" t="str">
        <f>VLOOKUP(D32,'[1]RESUMO ESQ. '!$E$5:$L$76,2,FALSE)</f>
        <v>PORTA</v>
      </c>
      <c r="F32" s="7">
        <v>1</v>
      </c>
      <c r="G32" s="7">
        <v>1</v>
      </c>
      <c r="H32" s="7">
        <f t="shared" si="4"/>
        <v>1</v>
      </c>
      <c r="I32" s="7">
        <f>VLOOKUP(D32,'[1]RESUMO ESQ. '!$E$6:$L$71,5,FALSE)</f>
        <v>0.96</v>
      </c>
      <c r="J32" s="7">
        <f>VLOOKUP(D32,'[1]RESUMO ESQ. '!$E$6:$L$71,6,FALSE)</f>
        <v>2.13</v>
      </c>
      <c r="K32" s="27">
        <v>0.19</v>
      </c>
      <c r="L32" s="12">
        <f t="shared" si="1"/>
        <v>0.22040000000000001</v>
      </c>
    </row>
    <row r="33" spans="2:12" x14ac:dyDescent="0.25">
      <c r="B33" s="22" t="s">
        <v>137</v>
      </c>
      <c r="C33" s="23" t="s">
        <v>36</v>
      </c>
      <c r="D33" s="24" t="s">
        <v>65</v>
      </c>
      <c r="E33" s="30" t="str">
        <f>VLOOKUP(D33,'[1]RESUMO ESQ. '!$E$5:$L$76,2,FALSE)</f>
        <v>PORTA</v>
      </c>
      <c r="F33" s="7">
        <v>1</v>
      </c>
      <c r="G33" s="7">
        <v>1</v>
      </c>
      <c r="H33" s="7">
        <f t="shared" si="4"/>
        <v>1</v>
      </c>
      <c r="I33" s="7">
        <f>VLOOKUP(D33,'[1]RESUMO ESQ. '!$E$6:$L$71,5,FALSE)</f>
        <v>0.6</v>
      </c>
      <c r="J33" s="7">
        <f>VLOOKUP(D33,'[1]RESUMO ESQ. '!$E$6:$L$71,6,FALSE)</f>
        <v>2.1</v>
      </c>
      <c r="K33" s="27">
        <v>0.19</v>
      </c>
      <c r="L33" s="12">
        <f t="shared" si="1"/>
        <v>0.152</v>
      </c>
    </row>
    <row r="34" spans="2:12" x14ac:dyDescent="0.25">
      <c r="B34" s="22" t="s">
        <v>137</v>
      </c>
      <c r="C34" s="23" t="s">
        <v>36</v>
      </c>
      <c r="D34" s="24" t="s">
        <v>68</v>
      </c>
      <c r="E34" s="30" t="str">
        <f>VLOOKUP(D34,'[1]RESUMO ESQ. '!$E$5:$L$76,2,FALSE)</f>
        <v>PORTA</v>
      </c>
      <c r="F34" s="7">
        <v>1</v>
      </c>
      <c r="G34" s="7">
        <v>1</v>
      </c>
      <c r="H34" s="7">
        <f t="shared" si="4"/>
        <v>1</v>
      </c>
      <c r="I34" s="7">
        <f>VLOOKUP(D34,'[1]RESUMO ESQ. '!$E$6:$L$71,5,FALSE)</f>
        <v>0.9</v>
      </c>
      <c r="J34" s="7">
        <f>VLOOKUP(D34,'[1]RESUMO ESQ. '!$E$6:$L$71,6,FALSE)</f>
        <v>2.1</v>
      </c>
      <c r="K34" s="27">
        <v>0.19</v>
      </c>
      <c r="L34" s="12">
        <f t="shared" si="1"/>
        <v>0.20900000000000002</v>
      </c>
    </row>
    <row r="35" spans="2:12" x14ac:dyDescent="0.25">
      <c r="B35" s="22" t="s">
        <v>74</v>
      </c>
      <c r="C35" s="23" t="s">
        <v>36</v>
      </c>
      <c r="D35" s="23" t="s">
        <v>100</v>
      </c>
      <c r="E35" s="30" t="str">
        <f>VLOOKUP(D35,'[1]RESUMO ESQ. '!$E$5:$L$76,2,FALSE)</f>
        <v>PORTA</v>
      </c>
      <c r="F35" s="7">
        <v>1</v>
      </c>
      <c r="G35" s="7">
        <v>1</v>
      </c>
      <c r="H35" s="7">
        <f t="shared" si="0"/>
        <v>1</v>
      </c>
      <c r="I35" s="7">
        <v>0.9</v>
      </c>
      <c r="J35" s="7">
        <v>2.1</v>
      </c>
      <c r="K35" s="27">
        <v>0.19</v>
      </c>
      <c r="L35" s="12">
        <f t="shared" si="1"/>
        <v>0.20900000000000002</v>
      </c>
    </row>
    <row r="36" spans="2:12" x14ac:dyDescent="0.25">
      <c r="B36" s="22" t="s">
        <v>74</v>
      </c>
      <c r="C36" s="23" t="s">
        <v>36</v>
      </c>
      <c r="D36" s="24" t="s">
        <v>118</v>
      </c>
      <c r="E36" s="30" t="str">
        <f>VLOOKUP(D36,'[1]RESUMO ESQ. '!$E$5:$L$76,2,FALSE)</f>
        <v>PORTA</v>
      </c>
      <c r="F36" s="7">
        <v>1</v>
      </c>
      <c r="G36" s="7">
        <v>1</v>
      </c>
      <c r="H36" s="7">
        <f t="shared" si="0"/>
        <v>1</v>
      </c>
      <c r="I36" s="7">
        <v>1.2</v>
      </c>
      <c r="J36" s="7">
        <v>2.1</v>
      </c>
      <c r="K36" s="27">
        <v>0.14000000000000001</v>
      </c>
      <c r="L36" s="12">
        <f t="shared" si="1"/>
        <v>0.19600000000000001</v>
      </c>
    </row>
    <row r="37" spans="2:12" x14ac:dyDescent="0.25">
      <c r="B37" s="22" t="s">
        <v>74</v>
      </c>
      <c r="C37" s="23" t="s">
        <v>36</v>
      </c>
      <c r="D37" s="23" t="s">
        <v>119</v>
      </c>
      <c r="E37" s="30" t="str">
        <f>VLOOKUP(D37,'[1]RESUMO ESQ. '!$E$5:$L$76,2,FALSE)</f>
        <v>PORTA</v>
      </c>
      <c r="F37" s="7">
        <v>2</v>
      </c>
      <c r="G37" s="7">
        <v>1</v>
      </c>
      <c r="H37" s="7">
        <f t="shared" si="0"/>
        <v>2</v>
      </c>
      <c r="I37" s="7">
        <v>1.2</v>
      </c>
      <c r="J37" s="7">
        <v>2.1</v>
      </c>
      <c r="K37" s="27">
        <v>0.24</v>
      </c>
      <c r="L37" s="12">
        <f t="shared" si="1"/>
        <v>0.67199999999999993</v>
      </c>
    </row>
    <row r="38" spans="2:12" x14ac:dyDescent="0.25">
      <c r="B38" s="22" t="s">
        <v>74</v>
      </c>
      <c r="C38" s="23" t="s">
        <v>36</v>
      </c>
      <c r="D38" s="23" t="s">
        <v>73</v>
      </c>
      <c r="E38" s="30" t="s">
        <v>107</v>
      </c>
      <c r="F38" s="7">
        <v>1</v>
      </c>
      <c r="G38" s="7">
        <v>1</v>
      </c>
      <c r="H38" s="7">
        <f t="shared" si="0"/>
        <v>1</v>
      </c>
      <c r="I38" s="7">
        <v>1</v>
      </c>
      <c r="J38" s="7">
        <v>0.5</v>
      </c>
      <c r="K38" s="27">
        <v>0.24</v>
      </c>
      <c r="L38" s="12">
        <f t="shared" si="1"/>
        <v>0.28799999999999998</v>
      </c>
    </row>
    <row r="39" spans="2:12" x14ac:dyDescent="0.25">
      <c r="B39" s="22" t="s">
        <v>74</v>
      </c>
      <c r="C39" s="23" t="s">
        <v>36</v>
      </c>
      <c r="D39" s="23" t="s">
        <v>77</v>
      </c>
      <c r="E39" s="30" t="s">
        <v>107</v>
      </c>
      <c r="F39" s="7">
        <v>1</v>
      </c>
      <c r="G39" s="7">
        <v>1</v>
      </c>
      <c r="H39" s="7">
        <f t="shared" ref="H39:H44" si="6">G39*F39</f>
        <v>1</v>
      </c>
      <c r="I39" s="7">
        <v>1.5</v>
      </c>
      <c r="J39" s="7">
        <v>0.8</v>
      </c>
      <c r="K39" s="27">
        <v>0.215</v>
      </c>
      <c r="L39" s="12">
        <f t="shared" si="1"/>
        <v>0.36549999999999999</v>
      </c>
    </row>
    <row r="40" spans="2:12" x14ac:dyDescent="0.25">
      <c r="B40" s="22" t="s">
        <v>74</v>
      </c>
      <c r="C40" s="23" t="s">
        <v>36</v>
      </c>
      <c r="D40" s="23" t="s">
        <v>120</v>
      </c>
      <c r="E40" s="30" t="s">
        <v>107</v>
      </c>
      <c r="F40" s="7">
        <v>1</v>
      </c>
      <c r="G40" s="7">
        <v>1</v>
      </c>
      <c r="H40" s="7">
        <f t="shared" si="6"/>
        <v>1</v>
      </c>
      <c r="I40" s="7">
        <v>2</v>
      </c>
      <c r="J40" s="7">
        <v>1.8</v>
      </c>
      <c r="K40" s="27">
        <v>0.20499999999999999</v>
      </c>
      <c r="L40" s="12">
        <f t="shared" si="1"/>
        <v>0.45099999999999996</v>
      </c>
    </row>
    <row r="41" spans="2:12" x14ac:dyDescent="0.25">
      <c r="B41" s="22" t="s">
        <v>74</v>
      </c>
      <c r="C41" s="23" t="s">
        <v>36</v>
      </c>
      <c r="D41" s="24" t="s">
        <v>117</v>
      </c>
      <c r="E41" s="30" t="s">
        <v>107</v>
      </c>
      <c r="F41" s="7">
        <v>1</v>
      </c>
      <c r="G41" s="7">
        <v>1</v>
      </c>
      <c r="H41" s="7">
        <f t="shared" si="6"/>
        <v>1</v>
      </c>
      <c r="I41" s="7">
        <v>3</v>
      </c>
      <c r="J41" s="7">
        <v>1.8</v>
      </c>
      <c r="K41" s="27">
        <v>0.20499999999999999</v>
      </c>
      <c r="L41" s="12">
        <f t="shared" si="1"/>
        <v>0.65600000000000003</v>
      </c>
    </row>
    <row r="42" spans="2:12" x14ac:dyDescent="0.25">
      <c r="B42" s="22" t="s">
        <v>74</v>
      </c>
      <c r="C42" s="23" t="s">
        <v>36</v>
      </c>
      <c r="D42" s="23" t="s">
        <v>121</v>
      </c>
      <c r="E42" s="30" t="s">
        <v>107</v>
      </c>
      <c r="F42" s="7">
        <v>2</v>
      </c>
      <c r="G42" s="7">
        <v>1</v>
      </c>
      <c r="H42" s="7">
        <f t="shared" si="6"/>
        <v>2</v>
      </c>
      <c r="I42" s="7">
        <v>2.75</v>
      </c>
      <c r="J42" s="7">
        <v>1.5</v>
      </c>
      <c r="K42" s="27">
        <v>0.20499999999999999</v>
      </c>
      <c r="L42" s="12">
        <f t="shared" si="1"/>
        <v>1.2095</v>
      </c>
    </row>
    <row r="43" spans="2:12" x14ac:dyDescent="0.25">
      <c r="B43" s="22" t="s">
        <v>74</v>
      </c>
      <c r="C43" s="23" t="s">
        <v>36</v>
      </c>
      <c r="D43" s="23" t="s">
        <v>122</v>
      </c>
      <c r="E43" s="30" t="s">
        <v>107</v>
      </c>
      <c r="F43" s="7">
        <v>4</v>
      </c>
      <c r="G43" s="7">
        <v>1</v>
      </c>
      <c r="H43" s="7">
        <f t="shared" ref="H43" si="7">G43*F43</f>
        <v>4</v>
      </c>
      <c r="I43" s="7">
        <v>3.25</v>
      </c>
      <c r="J43" s="7">
        <v>2.25</v>
      </c>
      <c r="K43" s="27">
        <v>0.20499999999999999</v>
      </c>
      <c r="L43" s="12">
        <f t="shared" si="1"/>
        <v>2.8290000000000002</v>
      </c>
    </row>
    <row r="44" spans="2:12" x14ac:dyDescent="0.25">
      <c r="B44" s="22" t="s">
        <v>74</v>
      </c>
      <c r="C44" s="23" t="s">
        <v>36</v>
      </c>
      <c r="D44" s="23" t="s">
        <v>63</v>
      </c>
      <c r="E44" s="30" t="s">
        <v>105</v>
      </c>
      <c r="F44" s="7">
        <v>4</v>
      </c>
      <c r="G44" s="7">
        <v>1</v>
      </c>
      <c r="H44" s="7">
        <f t="shared" si="6"/>
        <v>4</v>
      </c>
      <c r="I44" s="7">
        <v>0.96</v>
      </c>
      <c r="J44" s="7">
        <v>2.13</v>
      </c>
      <c r="K44" s="27">
        <v>0.16500000000000001</v>
      </c>
      <c r="L44" s="12">
        <f t="shared" si="1"/>
        <v>0.76560000000000006</v>
      </c>
    </row>
    <row r="45" spans="2:12" x14ac:dyDescent="0.25">
      <c r="B45" s="21" t="s">
        <v>78</v>
      </c>
      <c r="C45" s="19" t="s">
        <v>36</v>
      </c>
      <c r="D45" s="19" t="s">
        <v>79</v>
      </c>
      <c r="E45" s="30" t="s">
        <v>104</v>
      </c>
      <c r="F45" s="32">
        <v>7</v>
      </c>
      <c r="G45" s="7">
        <v>1</v>
      </c>
      <c r="H45" s="7">
        <f t="shared" si="0"/>
        <v>7</v>
      </c>
      <c r="I45" s="34">
        <f>VLOOKUP(D45,'[1]RESUMO ESQ. '!$E$6:$L$71,5,FALSE)</f>
        <v>0.5</v>
      </c>
      <c r="J45" s="34">
        <f>VLOOKUP(D45,'[1]RESUMO ESQ. '!$E$6:$L$71,6,FALSE)</f>
        <v>0.73</v>
      </c>
      <c r="K45" s="27">
        <v>0.19</v>
      </c>
      <c r="L45" s="12">
        <f t="shared" si="1"/>
        <v>0.93100000000000005</v>
      </c>
    </row>
    <row r="46" spans="2:12" x14ac:dyDescent="0.25">
      <c r="B46" s="21" t="s">
        <v>78</v>
      </c>
      <c r="C46" s="19" t="s">
        <v>36</v>
      </c>
      <c r="D46" s="19" t="s">
        <v>56</v>
      </c>
      <c r="E46" s="30" t="s">
        <v>104</v>
      </c>
      <c r="F46" s="32">
        <v>3</v>
      </c>
      <c r="G46" s="7">
        <v>1</v>
      </c>
      <c r="H46" s="7">
        <f t="shared" si="0"/>
        <v>3</v>
      </c>
      <c r="I46" s="34">
        <f>VLOOKUP(D46,'[1]RESUMO ESQ. '!$E$6:$L$71,5,FALSE)</f>
        <v>0.5</v>
      </c>
      <c r="J46" s="34">
        <f>VLOOKUP(D46,'[1]RESUMO ESQ. '!$E$6:$L$71,6,FALSE)</f>
        <v>0.61</v>
      </c>
      <c r="K46" s="27">
        <v>0.19</v>
      </c>
      <c r="L46" s="12">
        <f t="shared" si="1"/>
        <v>0.39900000000000002</v>
      </c>
    </row>
    <row r="47" spans="2:12" x14ac:dyDescent="0.25">
      <c r="B47" s="21" t="s">
        <v>78</v>
      </c>
      <c r="C47" s="19" t="s">
        <v>36</v>
      </c>
      <c r="D47" s="20" t="s">
        <v>80</v>
      </c>
      <c r="E47" s="30" t="s">
        <v>104</v>
      </c>
      <c r="F47" s="32">
        <v>14</v>
      </c>
      <c r="G47" s="7">
        <v>1</v>
      </c>
      <c r="H47" s="7">
        <f t="shared" si="0"/>
        <v>14</v>
      </c>
      <c r="I47" s="34">
        <f>VLOOKUP(D47,'[1]RESUMO ESQ. '!$E$6:$L$71,5,FALSE)</f>
        <v>1.2</v>
      </c>
      <c r="J47" s="34">
        <f>VLOOKUP(D47,'[1]RESUMO ESQ. '!$E$6:$L$71,6,FALSE)</f>
        <v>1</v>
      </c>
      <c r="K47" s="27">
        <v>0.19</v>
      </c>
      <c r="L47" s="12">
        <f t="shared" si="1"/>
        <v>3.7240000000000002</v>
      </c>
    </row>
    <row r="48" spans="2:12" x14ac:dyDescent="0.25">
      <c r="B48" s="21" t="s">
        <v>78</v>
      </c>
      <c r="C48" s="19" t="s">
        <v>36</v>
      </c>
      <c r="D48" s="20" t="s">
        <v>81</v>
      </c>
      <c r="E48" s="30" t="s">
        <v>104</v>
      </c>
      <c r="F48" s="32">
        <v>14</v>
      </c>
      <c r="G48" s="7">
        <v>1</v>
      </c>
      <c r="H48" s="7">
        <f t="shared" si="0"/>
        <v>14</v>
      </c>
      <c r="I48" s="34">
        <f>VLOOKUP(D48,'[1]RESUMO ESQ. '!$E$6:$L$71,5,FALSE)</f>
        <v>1.4</v>
      </c>
      <c r="J48" s="34">
        <f>VLOOKUP(D48,'[1]RESUMO ESQ. '!$E$6:$L$71,6,FALSE)</f>
        <v>1</v>
      </c>
      <c r="K48" s="27">
        <v>0.19</v>
      </c>
      <c r="L48" s="12">
        <f t="shared" si="1"/>
        <v>4.2559999999999993</v>
      </c>
    </row>
    <row r="49" spans="2:12" x14ac:dyDescent="0.25">
      <c r="B49" s="21" t="s">
        <v>78</v>
      </c>
      <c r="C49" s="19" t="s">
        <v>36</v>
      </c>
      <c r="D49" s="19" t="s">
        <v>129</v>
      </c>
      <c r="E49" s="30" t="s">
        <v>104</v>
      </c>
      <c r="F49" s="32">
        <v>1</v>
      </c>
      <c r="G49" s="7">
        <v>1</v>
      </c>
      <c r="H49" s="7">
        <f t="shared" si="0"/>
        <v>1</v>
      </c>
      <c r="I49" s="34">
        <f>VLOOKUP(D49,'[1]RESUMO ESQ. '!$E$6:$L$71,5,FALSE)</f>
        <v>1.4</v>
      </c>
      <c r="J49" s="34">
        <f>VLOOKUP(D49,'[1]RESUMO ESQ. '!$E$6:$L$71,6,FALSE)</f>
        <v>1</v>
      </c>
      <c r="K49" s="27">
        <v>0.19</v>
      </c>
      <c r="L49" s="12">
        <f t="shared" si="1"/>
        <v>0.30399999999999994</v>
      </c>
    </row>
    <row r="50" spans="2:12" x14ac:dyDescent="0.25">
      <c r="B50" s="21" t="s">
        <v>78</v>
      </c>
      <c r="C50" s="19" t="s">
        <v>36</v>
      </c>
      <c r="D50" s="20" t="s">
        <v>82</v>
      </c>
      <c r="E50" s="30" t="s">
        <v>104</v>
      </c>
      <c r="F50" s="32">
        <v>8</v>
      </c>
      <c r="G50" s="7">
        <v>1</v>
      </c>
      <c r="H50" s="7">
        <f t="shared" si="0"/>
        <v>8</v>
      </c>
      <c r="I50" s="34">
        <f>VLOOKUP(D50,'[1]RESUMO ESQ. '!$E$6:$L$71,5,FALSE)</f>
        <v>1.5</v>
      </c>
      <c r="J50" s="34">
        <f>VLOOKUP(D50,'[1]RESUMO ESQ. '!$E$6:$L$71,6,FALSE)</f>
        <v>1.9</v>
      </c>
      <c r="K50" s="27">
        <v>0.19</v>
      </c>
      <c r="L50" s="12">
        <f t="shared" si="1"/>
        <v>2.5840000000000005</v>
      </c>
    </row>
    <row r="51" spans="2:12" x14ac:dyDescent="0.25">
      <c r="B51" s="21" t="s">
        <v>78</v>
      </c>
      <c r="C51" s="19" t="s">
        <v>36</v>
      </c>
      <c r="D51" s="20" t="s">
        <v>83</v>
      </c>
      <c r="E51" s="30" t="s">
        <v>104</v>
      </c>
      <c r="F51" s="33">
        <v>1</v>
      </c>
      <c r="G51" s="7">
        <v>1</v>
      </c>
      <c r="H51" s="7">
        <f t="shared" si="0"/>
        <v>1</v>
      </c>
      <c r="I51" s="34">
        <f>VLOOKUP(D51,'[1]RESUMO ESQ. '!$E$6:$L$71,5,FALSE)</f>
        <v>3.75</v>
      </c>
      <c r="J51" s="34">
        <f>VLOOKUP(D51,'[1]RESUMO ESQ. '!$E$6:$L$71,6,FALSE)</f>
        <v>1.8</v>
      </c>
      <c r="K51" s="27">
        <v>0.19</v>
      </c>
      <c r="L51" s="12">
        <f t="shared" si="1"/>
        <v>0.75050000000000006</v>
      </c>
    </row>
    <row r="52" spans="2:12" x14ac:dyDescent="0.25">
      <c r="B52" s="21" t="s">
        <v>78</v>
      </c>
      <c r="C52" s="19" t="s">
        <v>36</v>
      </c>
      <c r="D52" s="19" t="s">
        <v>71</v>
      </c>
      <c r="E52" s="30" t="s">
        <v>105</v>
      </c>
      <c r="F52" s="32">
        <v>1</v>
      </c>
      <c r="G52" s="7">
        <v>1</v>
      </c>
      <c r="H52" s="7">
        <f t="shared" si="0"/>
        <v>1</v>
      </c>
      <c r="I52" s="34">
        <f>VLOOKUP(D52,'[1]RESUMO ESQ. '!$E$6:$L$71,5,FALSE)</f>
        <v>0.5</v>
      </c>
      <c r="J52" s="34">
        <f>VLOOKUP(D52,'[1]RESUMO ESQ. '!$E$6:$L$71,6,FALSE)</f>
        <v>2.2000000000000002</v>
      </c>
      <c r="K52" s="27">
        <v>0.19</v>
      </c>
      <c r="L52" s="12">
        <f t="shared" si="1"/>
        <v>0.13300000000000001</v>
      </c>
    </row>
    <row r="53" spans="2:12" x14ac:dyDescent="0.25">
      <c r="B53" s="21" t="s">
        <v>78</v>
      </c>
      <c r="C53" s="19" t="s">
        <v>36</v>
      </c>
      <c r="D53" s="19" t="s">
        <v>118</v>
      </c>
      <c r="E53" s="30" t="s">
        <v>105</v>
      </c>
      <c r="F53" s="32">
        <v>4</v>
      </c>
      <c r="G53" s="7">
        <v>1</v>
      </c>
      <c r="H53" s="7">
        <f t="shared" si="0"/>
        <v>4</v>
      </c>
      <c r="I53" s="34">
        <f>VLOOKUP(D53,'[1]RESUMO ESQ. '!$E$6:$L$71,5,FALSE)</f>
        <v>1.2</v>
      </c>
      <c r="J53" s="34">
        <f>VLOOKUP(D53,'[1]RESUMO ESQ. '!$E$6:$L$71,6,FALSE)</f>
        <v>2.1</v>
      </c>
      <c r="K53" s="27">
        <v>0.19</v>
      </c>
      <c r="L53" s="12">
        <f t="shared" si="1"/>
        <v>1.0640000000000001</v>
      </c>
    </row>
    <row r="54" spans="2:12" x14ac:dyDescent="0.25">
      <c r="B54" s="21" t="s">
        <v>78</v>
      </c>
      <c r="C54" s="19" t="s">
        <v>36</v>
      </c>
      <c r="D54" s="19" t="s">
        <v>130</v>
      </c>
      <c r="E54" s="30" t="s">
        <v>105</v>
      </c>
      <c r="F54" s="32">
        <v>1</v>
      </c>
      <c r="G54" s="7">
        <v>1</v>
      </c>
      <c r="H54" s="7">
        <f t="shared" si="0"/>
        <v>1</v>
      </c>
      <c r="I54" s="34">
        <f>VLOOKUP(D54,'[1]RESUMO ESQ. '!$E$6:$L$71,5,FALSE)</f>
        <v>1.5</v>
      </c>
      <c r="J54" s="34">
        <f>VLOOKUP(D54,'[1]RESUMO ESQ. '!$E$6:$L$71,6,FALSE)</f>
        <v>2.1</v>
      </c>
      <c r="K54" s="27">
        <v>0.19</v>
      </c>
      <c r="L54" s="12">
        <f t="shared" si="1"/>
        <v>0.32300000000000006</v>
      </c>
    </row>
    <row r="55" spans="2:12" x14ac:dyDescent="0.25">
      <c r="B55" s="21" t="s">
        <v>78</v>
      </c>
      <c r="C55" s="19" t="s">
        <v>36</v>
      </c>
      <c r="D55" s="19" t="s">
        <v>103</v>
      </c>
      <c r="E55" s="30" t="s">
        <v>107</v>
      </c>
      <c r="F55" s="32">
        <v>2</v>
      </c>
      <c r="G55" s="7">
        <v>1</v>
      </c>
      <c r="H55" s="7">
        <f t="shared" si="0"/>
        <v>2</v>
      </c>
      <c r="I55" s="34">
        <f>VLOOKUP(D55,'[1]RESUMO ESQ. '!$E$6:$L$71,5,FALSE)</f>
        <v>0.1</v>
      </c>
      <c r="J55" s="34">
        <f>VLOOKUP(D55,'[1]RESUMO ESQ. '!$E$6:$L$71,6,FALSE)</f>
        <v>0.1</v>
      </c>
      <c r="K55" s="27">
        <v>0.19</v>
      </c>
      <c r="L55" s="12">
        <f t="shared" si="1"/>
        <v>0.11400000000000002</v>
      </c>
    </row>
    <row r="56" spans="2:12" x14ac:dyDescent="0.25">
      <c r="B56" s="21" t="s">
        <v>78</v>
      </c>
      <c r="C56" s="19" t="s">
        <v>36</v>
      </c>
      <c r="D56" s="20" t="s">
        <v>76</v>
      </c>
      <c r="E56" s="30" t="s">
        <v>107</v>
      </c>
      <c r="F56" s="33">
        <v>2</v>
      </c>
      <c r="G56" s="7">
        <v>1</v>
      </c>
      <c r="H56" s="7">
        <f t="shared" si="0"/>
        <v>2</v>
      </c>
      <c r="I56" s="34">
        <f>VLOOKUP(D56,'[1]RESUMO ESQ. '!$E$6:$L$71,5,FALSE)</f>
        <v>1.3</v>
      </c>
      <c r="J56" s="34">
        <f>VLOOKUP(D56,'[1]RESUMO ESQ. '!$E$6:$L$71,6,FALSE)</f>
        <v>1.4</v>
      </c>
      <c r="K56" s="27">
        <v>0.19</v>
      </c>
      <c r="L56" s="12">
        <f t="shared" si="1"/>
        <v>0.57000000000000006</v>
      </c>
    </row>
    <row r="57" spans="2:12" x14ac:dyDescent="0.25">
      <c r="B57" s="21" t="s">
        <v>78</v>
      </c>
      <c r="C57" s="19" t="s">
        <v>36</v>
      </c>
      <c r="D57" s="20" t="s">
        <v>131</v>
      </c>
      <c r="E57" s="30" t="s">
        <v>107</v>
      </c>
      <c r="F57" s="33">
        <v>1</v>
      </c>
      <c r="G57" s="7">
        <v>1</v>
      </c>
      <c r="H57" s="7">
        <f t="shared" si="0"/>
        <v>1</v>
      </c>
      <c r="I57" s="34">
        <f>VLOOKUP(D57,'[1]RESUMO ESQ. '!$E$6:$L$71,5,FALSE)</f>
        <v>1.75</v>
      </c>
      <c r="J57" s="34">
        <f>VLOOKUP(D57,'[1]RESUMO ESQ. '!$E$6:$L$71,6,FALSE)</f>
        <v>1.64</v>
      </c>
      <c r="K57" s="27">
        <v>0.19</v>
      </c>
      <c r="L57" s="12">
        <f t="shared" si="1"/>
        <v>0.37050000000000005</v>
      </c>
    </row>
    <row r="58" spans="2:12" x14ac:dyDescent="0.25">
      <c r="B58" s="21" t="s">
        <v>78</v>
      </c>
      <c r="C58" s="19" t="s">
        <v>36</v>
      </c>
      <c r="D58" s="20" t="s">
        <v>132</v>
      </c>
      <c r="E58" s="30" t="s">
        <v>107</v>
      </c>
      <c r="F58" s="33">
        <v>1</v>
      </c>
      <c r="G58" s="7">
        <v>1</v>
      </c>
      <c r="H58" s="7">
        <f t="shared" si="0"/>
        <v>1</v>
      </c>
      <c r="I58" s="34">
        <f>VLOOKUP(D58,'[1]RESUMO ESQ. '!$E$6:$L$71,5,FALSE)</f>
        <v>1.95</v>
      </c>
      <c r="J58" s="34">
        <f>VLOOKUP(D58,'[1]RESUMO ESQ. '!$E$6:$L$71,6,FALSE)</f>
        <v>1.64</v>
      </c>
      <c r="K58" s="27">
        <v>0.19</v>
      </c>
      <c r="L58" s="12">
        <f t="shared" si="1"/>
        <v>0.40849999999999997</v>
      </c>
    </row>
    <row r="59" spans="2:12" x14ac:dyDescent="0.25">
      <c r="B59" s="21" t="s">
        <v>78</v>
      </c>
      <c r="C59" s="19" t="s">
        <v>36</v>
      </c>
      <c r="D59" s="20" t="s">
        <v>133</v>
      </c>
      <c r="E59" s="30" t="s">
        <v>107</v>
      </c>
      <c r="F59" s="33">
        <v>1</v>
      </c>
      <c r="G59" s="7">
        <v>1</v>
      </c>
      <c r="H59" s="7">
        <f t="shared" si="0"/>
        <v>1</v>
      </c>
      <c r="I59" s="34">
        <f>VLOOKUP(D59,'[1]RESUMO ESQ. '!$E$6:$L$71,5,FALSE)</f>
        <v>2.0499999999999998</v>
      </c>
      <c r="J59" s="34">
        <f>VLOOKUP(D59,'[1]RESUMO ESQ. '!$E$6:$L$71,6,FALSE)</f>
        <v>1.64</v>
      </c>
      <c r="K59" s="27">
        <v>0.19</v>
      </c>
      <c r="L59" s="12">
        <f t="shared" si="1"/>
        <v>0.42749999999999999</v>
      </c>
    </row>
    <row r="60" spans="2:12" x14ac:dyDescent="0.25">
      <c r="B60" s="21" t="s">
        <v>78</v>
      </c>
      <c r="C60" s="19" t="s">
        <v>36</v>
      </c>
      <c r="D60" s="19" t="s">
        <v>134</v>
      </c>
      <c r="E60" s="30" t="s">
        <v>107</v>
      </c>
      <c r="F60" s="32">
        <v>1</v>
      </c>
      <c r="G60" s="7">
        <v>1</v>
      </c>
      <c r="H60" s="7">
        <f t="shared" si="0"/>
        <v>1</v>
      </c>
      <c r="I60" s="34">
        <f>VLOOKUP(D60,'[1]RESUMO ESQ. '!$E$6:$L$71,5,FALSE)</f>
        <v>2.9</v>
      </c>
      <c r="J60" s="34">
        <f>VLOOKUP(D60,'[1]RESUMO ESQ. '!$E$6:$L$71,6,FALSE)</f>
        <v>1.64</v>
      </c>
      <c r="K60" s="27">
        <v>0.19</v>
      </c>
      <c r="L60" s="12">
        <f t="shared" si="1"/>
        <v>0.58899999999999997</v>
      </c>
    </row>
    <row r="61" spans="2:12" x14ac:dyDescent="0.25">
      <c r="B61" s="21" t="s">
        <v>78</v>
      </c>
      <c r="C61" s="19" t="s">
        <v>36</v>
      </c>
      <c r="D61" s="19" t="s">
        <v>135</v>
      </c>
      <c r="E61" s="30" t="s">
        <v>107</v>
      </c>
      <c r="F61" s="32">
        <v>2</v>
      </c>
      <c r="G61" s="7">
        <v>1</v>
      </c>
      <c r="H61" s="7">
        <f t="shared" si="0"/>
        <v>2</v>
      </c>
      <c r="I61" s="34">
        <f>VLOOKUP(D61,'[1]RESUMO ESQ. '!$E$6:$L$71,5,FALSE)</f>
        <v>3.1</v>
      </c>
      <c r="J61" s="34">
        <f>VLOOKUP(D61,'[1]RESUMO ESQ. '!$E$6:$L$71,6,FALSE)</f>
        <v>2</v>
      </c>
      <c r="K61" s="27">
        <v>0.19</v>
      </c>
      <c r="L61" s="12">
        <f t="shared" si="1"/>
        <v>1.2540000000000002</v>
      </c>
    </row>
    <row r="62" spans="2:12" x14ac:dyDescent="0.25">
      <c r="B62" s="21" t="s">
        <v>78</v>
      </c>
      <c r="C62" s="19" t="s">
        <v>36</v>
      </c>
      <c r="D62" s="20" t="s">
        <v>136</v>
      </c>
      <c r="E62" s="30" t="s">
        <v>107</v>
      </c>
      <c r="F62" s="33">
        <v>1</v>
      </c>
      <c r="G62" s="7">
        <v>1</v>
      </c>
      <c r="H62" s="7">
        <f t="shared" si="0"/>
        <v>1</v>
      </c>
      <c r="I62" s="34">
        <f>VLOOKUP(D62,'[1]RESUMO ESQ. '!$E$6:$L$71,5,FALSE)</f>
        <v>3.2</v>
      </c>
      <c r="J62" s="34">
        <f>VLOOKUP(D62,'[1]RESUMO ESQ. '!$E$6:$L$71,6,FALSE)</f>
        <v>2</v>
      </c>
      <c r="K62" s="27">
        <v>0.19</v>
      </c>
      <c r="L62" s="12">
        <f t="shared" si="1"/>
        <v>0.64600000000000013</v>
      </c>
    </row>
    <row r="63" spans="2:12" x14ac:dyDescent="0.25">
      <c r="B63" s="21" t="s">
        <v>78</v>
      </c>
      <c r="C63" s="19" t="s">
        <v>36</v>
      </c>
      <c r="D63" s="20" t="s">
        <v>63</v>
      </c>
      <c r="E63" s="30" t="s">
        <v>105</v>
      </c>
      <c r="F63" s="33">
        <v>2</v>
      </c>
      <c r="G63" s="7">
        <v>1</v>
      </c>
      <c r="H63" s="7">
        <f t="shared" si="0"/>
        <v>2</v>
      </c>
      <c r="I63" s="34">
        <f>VLOOKUP(D63,'[1]RESUMO ESQ. '!$E$6:$L$71,5,FALSE)</f>
        <v>0.96</v>
      </c>
      <c r="J63" s="34">
        <f>VLOOKUP(D63,'[1]RESUMO ESQ. '!$E$6:$L$71,6,FALSE)</f>
        <v>2.13</v>
      </c>
      <c r="K63" s="27">
        <v>0.19</v>
      </c>
      <c r="L63" s="12">
        <f t="shared" si="1"/>
        <v>0.44080000000000003</v>
      </c>
    </row>
    <row r="64" spans="2:12" x14ac:dyDescent="0.25">
      <c r="B64" s="21" t="s">
        <v>78</v>
      </c>
      <c r="C64" s="19" t="s">
        <v>36</v>
      </c>
      <c r="D64" s="20" t="s">
        <v>84</v>
      </c>
      <c r="E64" s="30" t="s">
        <v>105</v>
      </c>
      <c r="F64" s="33">
        <v>3</v>
      </c>
      <c r="G64" s="7">
        <v>1</v>
      </c>
      <c r="H64" s="7">
        <f t="shared" si="0"/>
        <v>3</v>
      </c>
      <c r="I64" s="34">
        <f>VLOOKUP(D64,'[1]RESUMO ESQ. '!$E$6:$L$71,5,FALSE)</f>
        <v>1.1200000000000001</v>
      </c>
      <c r="J64" s="34">
        <f>VLOOKUP(D64,'[1]RESUMO ESQ. '!$E$6:$L$71,6,FALSE)</f>
        <v>2.23</v>
      </c>
      <c r="K64" s="27">
        <v>0.19</v>
      </c>
      <c r="L64" s="12">
        <f t="shared" si="1"/>
        <v>0.75240000000000007</v>
      </c>
    </row>
    <row r="65" spans="2:12" x14ac:dyDescent="0.25">
      <c r="B65" s="21" t="s">
        <v>78</v>
      </c>
      <c r="C65" s="19" t="s">
        <v>36</v>
      </c>
      <c r="D65" s="20" t="s">
        <v>85</v>
      </c>
      <c r="E65" s="30" t="s">
        <v>105</v>
      </c>
      <c r="F65" s="33">
        <v>10</v>
      </c>
      <c r="G65" s="7">
        <v>1</v>
      </c>
      <c r="H65" s="7">
        <f t="shared" si="0"/>
        <v>10</v>
      </c>
      <c r="I65" s="34">
        <f>VLOOKUP(D65,'[1]RESUMO ESQ. '!$E$6:$L$71,5,FALSE)</f>
        <v>1.5</v>
      </c>
      <c r="J65" s="34">
        <f>VLOOKUP(D65,'[1]RESUMO ESQ. '!$E$6:$L$71,6,FALSE)</f>
        <v>2.1</v>
      </c>
      <c r="K65" s="27">
        <v>0.19</v>
      </c>
      <c r="L65" s="12">
        <f t="shared" si="1"/>
        <v>3.2300000000000004</v>
      </c>
    </row>
    <row r="66" spans="2:12" x14ac:dyDescent="0.25">
      <c r="B66" s="21" t="s">
        <v>78</v>
      </c>
      <c r="C66" s="19" t="s">
        <v>36</v>
      </c>
      <c r="D66" s="20" t="s">
        <v>86</v>
      </c>
      <c r="E66" s="30" t="s">
        <v>105</v>
      </c>
      <c r="F66" s="33">
        <v>2</v>
      </c>
      <c r="G66" s="7">
        <v>1</v>
      </c>
      <c r="H66" s="7">
        <f t="shared" ref="H66:H76" si="8">G66*F66</f>
        <v>2</v>
      </c>
      <c r="I66" s="34">
        <f>VLOOKUP(D66,'[1]RESUMO ESQ. '!$E$6:$L$71,5,FALSE)</f>
        <v>1.6</v>
      </c>
      <c r="J66" s="34">
        <f>VLOOKUP(D66,'[1]RESUMO ESQ. '!$E$6:$L$71,6,FALSE)</f>
        <v>2.1</v>
      </c>
      <c r="K66" s="27">
        <v>0.19</v>
      </c>
      <c r="L66" s="12">
        <f t="shared" si="1"/>
        <v>0.68400000000000016</v>
      </c>
    </row>
    <row r="67" spans="2:12" x14ac:dyDescent="0.25">
      <c r="B67" s="21" t="s">
        <v>78</v>
      </c>
      <c r="C67" s="19" t="s">
        <v>36</v>
      </c>
      <c r="D67" s="20" t="s">
        <v>60</v>
      </c>
      <c r="E67" s="30" t="s">
        <v>105</v>
      </c>
      <c r="F67" s="33">
        <v>1</v>
      </c>
      <c r="G67" s="7">
        <v>1</v>
      </c>
      <c r="H67" s="7">
        <f t="shared" si="8"/>
        <v>1</v>
      </c>
      <c r="I67" s="34">
        <f>VLOOKUP(D67,'[1]RESUMO ESQ. '!$E$6:$L$71,5,FALSE)</f>
        <v>1.8</v>
      </c>
      <c r="J67" s="34">
        <f>VLOOKUP(D67,'[1]RESUMO ESQ. '!$E$6:$L$71,6,FALSE)</f>
        <v>2.1</v>
      </c>
      <c r="K67" s="27">
        <v>0.19</v>
      </c>
      <c r="L67" s="12">
        <f t="shared" si="1"/>
        <v>0.38</v>
      </c>
    </row>
    <row r="68" spans="2:12" x14ac:dyDescent="0.25">
      <c r="B68" s="21" t="s">
        <v>78</v>
      </c>
      <c r="C68" s="19" t="s">
        <v>36</v>
      </c>
      <c r="D68" s="19" t="s">
        <v>61</v>
      </c>
      <c r="E68" s="30" t="s">
        <v>105</v>
      </c>
      <c r="F68" s="33">
        <v>2</v>
      </c>
      <c r="G68" s="7">
        <v>1</v>
      </c>
      <c r="H68" s="7">
        <f t="shared" si="8"/>
        <v>2</v>
      </c>
      <c r="I68" s="34">
        <f>VLOOKUP(D68,'[1]RESUMO ESQ. '!$E$6:$L$71,5,FALSE)</f>
        <v>1.6</v>
      </c>
      <c r="J68" s="34">
        <f>VLOOKUP(D68,'[1]RESUMO ESQ. '!$E$6:$L$71,6,FALSE)</f>
        <v>2.1</v>
      </c>
      <c r="K68" s="27">
        <v>0.19</v>
      </c>
      <c r="L68" s="12">
        <f t="shared" si="1"/>
        <v>0.68400000000000016</v>
      </c>
    </row>
    <row r="69" spans="2:12" x14ac:dyDescent="0.25">
      <c r="B69" s="21" t="s">
        <v>78</v>
      </c>
      <c r="C69" s="19" t="s">
        <v>36</v>
      </c>
      <c r="D69" s="19" t="s">
        <v>88</v>
      </c>
      <c r="E69" s="30" t="s">
        <v>105</v>
      </c>
      <c r="F69" s="33">
        <v>2</v>
      </c>
      <c r="G69" s="7">
        <v>1</v>
      </c>
      <c r="H69" s="7">
        <f t="shared" si="8"/>
        <v>2</v>
      </c>
      <c r="I69" s="34">
        <f>VLOOKUP(D69,'[1]RESUMO ESQ. '!$E$6:$L$71,5,FALSE)</f>
        <v>2.06</v>
      </c>
      <c r="J69" s="34">
        <f>VLOOKUP(D69,'[1]RESUMO ESQ. '!$E$6:$L$71,6,FALSE)</f>
        <v>2.13</v>
      </c>
      <c r="K69" s="27">
        <v>0.19</v>
      </c>
      <c r="L69" s="12">
        <f t="shared" si="1"/>
        <v>0.85880000000000001</v>
      </c>
    </row>
    <row r="70" spans="2:12" x14ac:dyDescent="0.25">
      <c r="B70" s="21" t="s">
        <v>78</v>
      </c>
      <c r="C70" s="19" t="s">
        <v>36</v>
      </c>
      <c r="D70" s="19" t="s">
        <v>89</v>
      </c>
      <c r="E70" s="30" t="s">
        <v>105</v>
      </c>
      <c r="F70" s="33">
        <v>2</v>
      </c>
      <c r="G70" s="7">
        <v>1</v>
      </c>
      <c r="H70" s="7">
        <f t="shared" si="8"/>
        <v>2</v>
      </c>
      <c r="I70" s="34">
        <f>VLOOKUP(D70,'[1]RESUMO ESQ. '!$E$6:$L$71,5,FALSE)</f>
        <v>1.06</v>
      </c>
      <c r="J70" s="34">
        <f>VLOOKUP(D70,'[1]RESUMO ESQ. '!$E$6:$L$71,6,FALSE)</f>
        <v>2.13</v>
      </c>
      <c r="K70" s="27">
        <v>0.19</v>
      </c>
      <c r="L70" s="12">
        <f t="shared" ref="L70:L76" si="9">((I70*K70)+(2*0.1*K70))*H70</f>
        <v>0.47880000000000006</v>
      </c>
    </row>
    <row r="71" spans="2:12" x14ac:dyDescent="0.25">
      <c r="B71" s="21" t="s">
        <v>78</v>
      </c>
      <c r="C71" s="19" t="s">
        <v>36</v>
      </c>
      <c r="D71" s="19" t="s">
        <v>62</v>
      </c>
      <c r="E71" s="30" t="s">
        <v>105</v>
      </c>
      <c r="F71" s="33">
        <v>1</v>
      </c>
      <c r="G71" s="7">
        <v>1</v>
      </c>
      <c r="H71" s="7">
        <f t="shared" si="8"/>
        <v>1</v>
      </c>
      <c r="I71" s="34">
        <f>VLOOKUP(D71,'[1]RESUMO ESQ. '!$E$6:$L$71,5,FALSE)</f>
        <v>2.6</v>
      </c>
      <c r="J71" s="34">
        <f>VLOOKUP(D71,'[1]RESUMO ESQ. '!$E$6:$L$71,6,FALSE)</f>
        <v>2.2000000000000002</v>
      </c>
      <c r="K71" s="27">
        <v>0.19</v>
      </c>
      <c r="L71" s="12">
        <f t="shared" si="9"/>
        <v>0.53200000000000003</v>
      </c>
    </row>
    <row r="72" spans="2:12" x14ac:dyDescent="0.25">
      <c r="B72" s="21" t="s">
        <v>78</v>
      </c>
      <c r="C72" s="19" t="s">
        <v>36</v>
      </c>
      <c r="D72" s="19" t="s">
        <v>91</v>
      </c>
      <c r="E72" s="30" t="s">
        <v>105</v>
      </c>
      <c r="F72" s="33">
        <v>2</v>
      </c>
      <c r="G72" s="7">
        <v>1</v>
      </c>
      <c r="H72" s="7">
        <f t="shared" si="8"/>
        <v>2</v>
      </c>
      <c r="I72" s="34">
        <f>VLOOKUP(D72,'[1]RESUMO ESQ. '!$E$6:$L$71,5,FALSE)</f>
        <v>3.8</v>
      </c>
      <c r="J72" s="34">
        <f>VLOOKUP(D72,'[1]RESUMO ESQ. '!$E$6:$L$71,6,FALSE)</f>
        <v>2.2000000000000002</v>
      </c>
      <c r="K72" s="27">
        <v>0.19</v>
      </c>
      <c r="L72" s="12">
        <f t="shared" si="9"/>
        <v>1.52</v>
      </c>
    </row>
    <row r="73" spans="2:12" x14ac:dyDescent="0.25">
      <c r="B73" s="21" t="s">
        <v>78</v>
      </c>
      <c r="C73" s="19" t="s">
        <v>36</v>
      </c>
      <c r="D73" s="19" t="s">
        <v>65</v>
      </c>
      <c r="E73" s="30" t="s">
        <v>105</v>
      </c>
      <c r="F73" s="33">
        <v>22</v>
      </c>
      <c r="G73" s="7">
        <v>1</v>
      </c>
      <c r="H73" s="7">
        <f t="shared" si="8"/>
        <v>22</v>
      </c>
      <c r="I73" s="34">
        <f>VLOOKUP(D73,'[1]RESUMO ESQ. '!$E$6:$L$71,5,FALSE)</f>
        <v>0.6</v>
      </c>
      <c r="J73" s="34">
        <f>VLOOKUP(D73,'[1]RESUMO ESQ. '!$E$6:$L$71,6,FALSE)</f>
        <v>2.1</v>
      </c>
      <c r="K73" s="27">
        <v>0.19</v>
      </c>
      <c r="L73" s="12">
        <f t="shared" si="9"/>
        <v>3.3439999999999999</v>
      </c>
    </row>
    <row r="74" spans="2:12" x14ac:dyDescent="0.25">
      <c r="B74" s="21" t="s">
        <v>78</v>
      </c>
      <c r="C74" s="19" t="s">
        <v>36</v>
      </c>
      <c r="D74" s="19" t="s">
        <v>66</v>
      </c>
      <c r="E74" s="30" t="s">
        <v>105</v>
      </c>
      <c r="F74" s="33">
        <v>31</v>
      </c>
      <c r="G74" s="7">
        <v>1</v>
      </c>
      <c r="H74" s="7">
        <f t="shared" si="8"/>
        <v>31</v>
      </c>
      <c r="I74" s="34">
        <f>VLOOKUP(D74,'[1]RESUMO ESQ. '!$E$6:$L$71,5,FALSE)</f>
        <v>0.7</v>
      </c>
      <c r="J74" s="34">
        <f>VLOOKUP(D74,'[1]RESUMO ESQ. '!$E$6:$L$71,6,FALSE)</f>
        <v>2.1</v>
      </c>
      <c r="K74" s="27">
        <v>0.19</v>
      </c>
      <c r="L74" s="12">
        <f t="shared" si="9"/>
        <v>5.3009999999999993</v>
      </c>
    </row>
    <row r="75" spans="2:12" x14ac:dyDescent="0.25">
      <c r="B75" s="21" t="s">
        <v>78</v>
      </c>
      <c r="C75" s="19" t="s">
        <v>36</v>
      </c>
      <c r="D75" s="19" t="s">
        <v>67</v>
      </c>
      <c r="E75" s="30" t="s">
        <v>105</v>
      </c>
      <c r="F75" s="33">
        <v>20</v>
      </c>
      <c r="G75" s="7">
        <v>1</v>
      </c>
      <c r="H75" s="7">
        <f t="shared" si="8"/>
        <v>20</v>
      </c>
      <c r="I75" s="34">
        <f>VLOOKUP(D75,'[1]RESUMO ESQ. '!$E$6:$L$71,5,FALSE)</f>
        <v>0.8</v>
      </c>
      <c r="J75" s="34">
        <f>VLOOKUP(D75,'[1]RESUMO ESQ. '!$E$6:$L$71,6,FALSE)</f>
        <v>2.1</v>
      </c>
      <c r="K75" s="27">
        <v>0.19</v>
      </c>
      <c r="L75" s="12">
        <f t="shared" si="9"/>
        <v>3.8000000000000007</v>
      </c>
    </row>
    <row r="76" spans="2:12" x14ac:dyDescent="0.25">
      <c r="B76" s="21" t="s">
        <v>78</v>
      </c>
      <c r="C76" s="19" t="s">
        <v>36</v>
      </c>
      <c r="D76" s="19" t="s">
        <v>69</v>
      </c>
      <c r="E76" s="30" t="s">
        <v>105</v>
      </c>
      <c r="F76" s="33">
        <v>1</v>
      </c>
      <c r="G76" s="7">
        <v>1</v>
      </c>
      <c r="H76" s="7">
        <f t="shared" si="8"/>
        <v>1</v>
      </c>
      <c r="I76" s="34">
        <f>VLOOKUP(D76,'[1]RESUMO ESQ. '!$E$6:$L$71,5,FALSE)</f>
        <v>1</v>
      </c>
      <c r="J76" s="34">
        <f>VLOOKUP(D76,'[1]RESUMO ESQ. '!$E$6:$L$71,6,FALSE)</f>
        <v>2.1</v>
      </c>
      <c r="K76" s="27">
        <v>0.19</v>
      </c>
      <c r="L76" s="12">
        <f t="shared" si="9"/>
        <v>0.22800000000000001</v>
      </c>
    </row>
    <row r="77" spans="2:12" x14ac:dyDescent="0.25">
      <c r="B77" s="21" t="s">
        <v>138</v>
      </c>
      <c r="C77" s="19" t="s">
        <v>95</v>
      </c>
      <c r="D77" s="19" t="s">
        <v>79</v>
      </c>
      <c r="E77" s="23" t="str">
        <f>VLOOKUP(D77,'[1]RESUMO ESQ. '!$E$5:$L$76,2,FALSE)</f>
        <v>JANELA</v>
      </c>
      <c r="F77" s="35">
        <v>6</v>
      </c>
      <c r="G77" s="7">
        <v>2</v>
      </c>
      <c r="H77" s="7">
        <f t="shared" si="0"/>
        <v>12</v>
      </c>
      <c r="I77" s="34">
        <f>VLOOKUP(D77,'[1]RESUMO ESQ. '!$E$6:$L$71,5,FALSE)</f>
        <v>0.5</v>
      </c>
      <c r="J77" s="34">
        <f>VLOOKUP(D77,'[1]RESUMO ESQ. '!$E$6:$L$71,6,FALSE)</f>
        <v>0.73</v>
      </c>
      <c r="K77" s="27">
        <v>0.19</v>
      </c>
      <c r="L77" s="12">
        <f t="shared" ref="L77:L109" si="10">((I77*K77)+(2*0.1*K77))*H77</f>
        <v>1.5960000000000001</v>
      </c>
    </row>
    <row r="78" spans="2:12" x14ac:dyDescent="0.25">
      <c r="B78" s="21" t="s">
        <v>138</v>
      </c>
      <c r="C78" s="19" t="s">
        <v>95</v>
      </c>
      <c r="D78" s="20" t="s">
        <v>80</v>
      </c>
      <c r="E78" s="23" t="str">
        <f>VLOOKUP(D78,'[1]RESUMO ESQ. '!$E$5:$L$76,2,FALSE)</f>
        <v>JANELA</v>
      </c>
      <c r="F78" s="35">
        <v>18</v>
      </c>
      <c r="G78" s="7">
        <v>2</v>
      </c>
      <c r="H78" s="7">
        <f t="shared" ref="H78:H112" si="11">G78*F78</f>
        <v>36</v>
      </c>
      <c r="I78" s="34">
        <f>VLOOKUP(D78,'[1]RESUMO ESQ. '!$E$6:$L$71,5,FALSE)</f>
        <v>1.2</v>
      </c>
      <c r="J78" s="34">
        <f>VLOOKUP(D78,'[1]RESUMO ESQ. '!$E$6:$L$71,6,FALSE)</f>
        <v>1</v>
      </c>
      <c r="K78" s="27">
        <v>0.19</v>
      </c>
      <c r="L78" s="12">
        <f t="shared" si="10"/>
        <v>9.5760000000000005</v>
      </c>
    </row>
    <row r="79" spans="2:12" x14ac:dyDescent="0.25">
      <c r="B79" s="21" t="s">
        <v>138</v>
      </c>
      <c r="C79" s="19" t="s">
        <v>95</v>
      </c>
      <c r="D79" s="20" t="s">
        <v>81</v>
      </c>
      <c r="E79" s="23" t="str">
        <f>VLOOKUP(D79,'[1]RESUMO ESQ. '!$E$5:$L$76,2,FALSE)</f>
        <v>JANELA</v>
      </c>
      <c r="F79" s="35">
        <v>6</v>
      </c>
      <c r="G79" s="7">
        <v>2</v>
      </c>
      <c r="H79" s="7">
        <f t="shared" si="11"/>
        <v>12</v>
      </c>
      <c r="I79" s="34">
        <f>VLOOKUP(D79,'[1]RESUMO ESQ. '!$E$6:$L$71,5,FALSE)</f>
        <v>1.4</v>
      </c>
      <c r="J79" s="34">
        <f>VLOOKUP(D79,'[1]RESUMO ESQ. '!$E$6:$L$71,6,FALSE)</f>
        <v>1</v>
      </c>
      <c r="K79" s="27">
        <v>0.19</v>
      </c>
      <c r="L79" s="12">
        <f t="shared" si="10"/>
        <v>3.6479999999999992</v>
      </c>
    </row>
    <row r="80" spans="2:12" x14ac:dyDescent="0.25">
      <c r="B80" s="21" t="s">
        <v>138</v>
      </c>
      <c r="C80" s="19" t="s">
        <v>95</v>
      </c>
      <c r="D80" s="19" t="s">
        <v>71</v>
      </c>
      <c r="E80" s="23" t="str">
        <f>VLOOKUP(D80,'[1]RESUMO ESQ. '!$E$5:$L$76,2,FALSE)</f>
        <v>PORTA</v>
      </c>
      <c r="F80" s="35">
        <v>2</v>
      </c>
      <c r="G80" s="7">
        <v>2</v>
      </c>
      <c r="H80" s="7">
        <f t="shared" si="11"/>
        <v>4</v>
      </c>
      <c r="I80" s="34">
        <f>VLOOKUP(D80,'[1]RESUMO ESQ. '!$E$6:$L$71,5,FALSE)</f>
        <v>0.5</v>
      </c>
      <c r="J80" s="34">
        <f>VLOOKUP(D80,'[1]RESUMO ESQ. '!$E$6:$L$71,6,FALSE)</f>
        <v>2.2000000000000002</v>
      </c>
      <c r="K80" s="27">
        <v>0.19</v>
      </c>
      <c r="L80" s="12">
        <f t="shared" si="10"/>
        <v>0.53200000000000003</v>
      </c>
    </row>
    <row r="81" spans="2:12" x14ac:dyDescent="0.25">
      <c r="B81" s="21" t="s">
        <v>138</v>
      </c>
      <c r="C81" s="19" t="s">
        <v>95</v>
      </c>
      <c r="D81" s="20" t="s">
        <v>76</v>
      </c>
      <c r="E81" s="23" t="str">
        <f>VLOOKUP(D81,'[1]RESUMO ESQ. '!$E$5:$L$76,2,FALSE)</f>
        <v>VENEZIANA</v>
      </c>
      <c r="F81" s="36">
        <v>1</v>
      </c>
      <c r="G81" s="7">
        <v>2</v>
      </c>
      <c r="H81" s="7">
        <f t="shared" si="11"/>
        <v>2</v>
      </c>
      <c r="I81" s="34">
        <f>VLOOKUP(D81,'[1]RESUMO ESQ. '!$E$6:$L$71,5,FALSE)</f>
        <v>1.3</v>
      </c>
      <c r="J81" s="34">
        <f>VLOOKUP(D81,'[1]RESUMO ESQ. '!$E$6:$L$71,6,FALSE)</f>
        <v>1.4</v>
      </c>
      <c r="K81" s="27">
        <v>0.19</v>
      </c>
      <c r="L81" s="12">
        <f t="shared" si="10"/>
        <v>0.57000000000000006</v>
      </c>
    </row>
    <row r="82" spans="2:12" x14ac:dyDescent="0.25">
      <c r="B82" s="21" t="s">
        <v>138</v>
      </c>
      <c r="C82" s="19" t="s">
        <v>95</v>
      </c>
      <c r="D82" s="19" t="s">
        <v>63</v>
      </c>
      <c r="E82" s="23" t="str">
        <f>VLOOKUP(D82,'[1]RESUMO ESQ. '!$E$5:$L$76,2,FALSE)</f>
        <v>PORTA</v>
      </c>
      <c r="F82" s="35">
        <v>1</v>
      </c>
      <c r="G82" s="7">
        <v>2</v>
      </c>
      <c r="H82" s="7">
        <f t="shared" si="11"/>
        <v>2</v>
      </c>
      <c r="I82" s="34">
        <f>VLOOKUP(D82,'[1]RESUMO ESQ. '!$E$6:$L$71,5,FALSE)</f>
        <v>0.96</v>
      </c>
      <c r="J82" s="34">
        <f>VLOOKUP(D82,'[1]RESUMO ESQ. '!$E$6:$L$71,6,FALSE)</f>
        <v>2.13</v>
      </c>
      <c r="K82" s="27">
        <v>0.19</v>
      </c>
      <c r="L82" s="12">
        <f t="shared" si="10"/>
        <v>0.44080000000000003</v>
      </c>
    </row>
    <row r="83" spans="2:12" x14ac:dyDescent="0.25">
      <c r="B83" s="21" t="s">
        <v>138</v>
      </c>
      <c r="C83" s="19" t="s">
        <v>95</v>
      </c>
      <c r="D83" s="19" t="s">
        <v>85</v>
      </c>
      <c r="E83" s="23" t="str">
        <f>VLOOKUP(D83,'[1]RESUMO ESQ. '!$E$5:$L$76,2,FALSE)</f>
        <v>PORTA</v>
      </c>
      <c r="F83" s="36">
        <v>4</v>
      </c>
      <c r="G83" s="7">
        <v>2</v>
      </c>
      <c r="H83" s="7">
        <f t="shared" si="11"/>
        <v>8</v>
      </c>
      <c r="I83" s="34">
        <f>VLOOKUP(D83,'[1]RESUMO ESQ. '!$E$6:$L$71,5,FALSE)</f>
        <v>1.5</v>
      </c>
      <c r="J83" s="34">
        <f>VLOOKUP(D83,'[1]RESUMO ESQ. '!$E$6:$L$71,6,FALSE)</f>
        <v>2.1</v>
      </c>
      <c r="K83" s="27">
        <v>0.19</v>
      </c>
      <c r="L83" s="12">
        <f t="shared" si="10"/>
        <v>2.5840000000000005</v>
      </c>
    </row>
    <row r="84" spans="2:12" x14ac:dyDescent="0.25">
      <c r="B84" s="21" t="s">
        <v>138</v>
      </c>
      <c r="C84" s="19" t="s">
        <v>95</v>
      </c>
      <c r="D84" s="19" t="s">
        <v>86</v>
      </c>
      <c r="E84" s="23" t="str">
        <f>VLOOKUP(D84,'[1]RESUMO ESQ. '!$E$5:$L$76,2,FALSE)</f>
        <v>PORTA</v>
      </c>
      <c r="F84" s="35">
        <v>2</v>
      </c>
      <c r="G84" s="7">
        <v>2</v>
      </c>
      <c r="H84" s="7">
        <f t="shared" si="11"/>
        <v>4</v>
      </c>
      <c r="I84" s="34">
        <f>VLOOKUP(D84,'[1]RESUMO ESQ. '!$E$6:$L$71,5,FALSE)</f>
        <v>1.6</v>
      </c>
      <c r="J84" s="34">
        <f>VLOOKUP(D84,'[1]RESUMO ESQ. '!$E$6:$L$71,6,FALSE)</f>
        <v>2.1</v>
      </c>
      <c r="K84" s="27">
        <v>0.19</v>
      </c>
      <c r="L84" s="12">
        <f t="shared" si="10"/>
        <v>1.3680000000000003</v>
      </c>
    </row>
    <row r="85" spans="2:12" x14ac:dyDescent="0.25">
      <c r="B85" s="21" t="s">
        <v>96</v>
      </c>
      <c r="C85" s="19" t="s">
        <v>95</v>
      </c>
      <c r="D85" s="20" t="s">
        <v>80</v>
      </c>
      <c r="E85" s="30" t="s">
        <v>104</v>
      </c>
      <c r="F85" s="7">
        <v>12</v>
      </c>
      <c r="G85" s="7">
        <v>1</v>
      </c>
      <c r="H85" s="7">
        <f t="shared" si="11"/>
        <v>12</v>
      </c>
      <c r="I85" s="7">
        <v>1.2</v>
      </c>
      <c r="J85" s="7">
        <v>1</v>
      </c>
      <c r="K85" s="27">
        <v>0.19</v>
      </c>
      <c r="L85" s="12">
        <f t="shared" si="10"/>
        <v>3.1920000000000002</v>
      </c>
    </row>
    <row r="86" spans="2:12" x14ac:dyDescent="0.25">
      <c r="B86" s="21" t="s">
        <v>96</v>
      </c>
      <c r="C86" s="19" t="s">
        <v>95</v>
      </c>
      <c r="D86" s="20" t="s">
        <v>81</v>
      </c>
      <c r="E86" s="30" t="s">
        <v>104</v>
      </c>
      <c r="F86" s="7">
        <v>6</v>
      </c>
      <c r="G86" s="7">
        <v>1</v>
      </c>
      <c r="H86" s="7">
        <f t="shared" si="11"/>
        <v>6</v>
      </c>
      <c r="I86" s="7">
        <v>1.4</v>
      </c>
      <c r="J86" s="7">
        <v>1</v>
      </c>
      <c r="K86" s="27">
        <v>0.19</v>
      </c>
      <c r="L86" s="12">
        <f t="shared" si="10"/>
        <v>1.8239999999999996</v>
      </c>
    </row>
    <row r="87" spans="2:12" x14ac:dyDescent="0.25">
      <c r="B87" s="21" t="s">
        <v>96</v>
      </c>
      <c r="C87" s="19" t="s">
        <v>95</v>
      </c>
      <c r="D87" s="19" t="s">
        <v>71</v>
      </c>
      <c r="E87" s="30" t="s">
        <v>105</v>
      </c>
      <c r="F87" s="7">
        <v>2</v>
      </c>
      <c r="G87" s="7">
        <v>1</v>
      </c>
      <c r="H87" s="7">
        <f t="shared" si="11"/>
        <v>2</v>
      </c>
      <c r="I87" s="7">
        <v>0.5</v>
      </c>
      <c r="J87" s="7">
        <v>2.2000000000000002</v>
      </c>
      <c r="K87" s="27">
        <v>0.19</v>
      </c>
      <c r="L87" s="12">
        <f t="shared" si="10"/>
        <v>0.26600000000000001</v>
      </c>
    </row>
    <row r="88" spans="2:12" x14ac:dyDescent="0.25">
      <c r="B88" s="21" t="s">
        <v>96</v>
      </c>
      <c r="C88" s="19" t="s">
        <v>95</v>
      </c>
      <c r="D88" s="19" t="s">
        <v>76</v>
      </c>
      <c r="E88" s="30" t="s">
        <v>107</v>
      </c>
      <c r="F88" s="7">
        <v>1</v>
      </c>
      <c r="G88" s="7">
        <v>1</v>
      </c>
      <c r="H88" s="7">
        <f t="shared" si="11"/>
        <v>1</v>
      </c>
      <c r="I88" s="7">
        <v>1.3</v>
      </c>
      <c r="J88" s="7">
        <v>1.4</v>
      </c>
      <c r="K88" s="27">
        <v>0.19</v>
      </c>
      <c r="L88" s="12">
        <f t="shared" si="10"/>
        <v>0.28500000000000003</v>
      </c>
    </row>
    <row r="89" spans="2:12" x14ac:dyDescent="0.25">
      <c r="B89" s="21" t="s">
        <v>96</v>
      </c>
      <c r="C89" s="19" t="s">
        <v>95</v>
      </c>
      <c r="D89" s="19" t="s">
        <v>63</v>
      </c>
      <c r="E89" s="30" t="s">
        <v>105</v>
      </c>
      <c r="F89" s="7">
        <v>1</v>
      </c>
      <c r="G89" s="7">
        <v>1</v>
      </c>
      <c r="H89" s="7">
        <f t="shared" si="11"/>
        <v>1</v>
      </c>
      <c r="I89" s="7">
        <v>0.96</v>
      </c>
      <c r="J89" s="7">
        <v>2.13</v>
      </c>
      <c r="K89" s="27">
        <v>0.19</v>
      </c>
      <c r="L89" s="12">
        <f t="shared" si="10"/>
        <v>0.22040000000000001</v>
      </c>
    </row>
    <row r="90" spans="2:12" x14ac:dyDescent="0.25">
      <c r="B90" s="21" t="s">
        <v>96</v>
      </c>
      <c r="C90" s="19" t="s">
        <v>95</v>
      </c>
      <c r="D90" s="19" t="s">
        <v>84</v>
      </c>
      <c r="E90" s="30" t="s">
        <v>105</v>
      </c>
      <c r="F90" s="7">
        <v>6</v>
      </c>
      <c r="G90" s="7">
        <v>1</v>
      </c>
      <c r="H90" s="7">
        <f t="shared" si="11"/>
        <v>6</v>
      </c>
      <c r="I90" s="7">
        <v>1.1200000000000001</v>
      </c>
      <c r="J90" s="7">
        <v>2.23</v>
      </c>
      <c r="K90" s="27">
        <v>0.19</v>
      </c>
      <c r="L90" s="12">
        <f t="shared" si="10"/>
        <v>1.5048000000000001</v>
      </c>
    </row>
    <row r="91" spans="2:12" x14ac:dyDescent="0.25">
      <c r="B91" s="21" t="s">
        <v>96</v>
      </c>
      <c r="C91" s="19" t="s">
        <v>95</v>
      </c>
      <c r="D91" s="19" t="s">
        <v>86</v>
      </c>
      <c r="E91" s="30" t="s">
        <v>105</v>
      </c>
      <c r="F91" s="7">
        <v>4</v>
      </c>
      <c r="G91" s="7">
        <v>1</v>
      </c>
      <c r="H91" s="7">
        <f t="shared" si="11"/>
        <v>4</v>
      </c>
      <c r="I91" s="7">
        <v>1.5</v>
      </c>
      <c r="J91" s="7">
        <v>2.1</v>
      </c>
      <c r="K91" s="27">
        <v>0.19</v>
      </c>
      <c r="L91" s="12">
        <f t="shared" si="10"/>
        <v>1.2920000000000003</v>
      </c>
    </row>
    <row r="92" spans="2:12" x14ac:dyDescent="0.25">
      <c r="B92" s="21" t="s">
        <v>96</v>
      </c>
      <c r="C92" s="19" t="s">
        <v>95</v>
      </c>
      <c r="D92" s="19" t="s">
        <v>86</v>
      </c>
      <c r="E92" s="30" t="s">
        <v>105</v>
      </c>
      <c r="F92" s="7">
        <v>2</v>
      </c>
      <c r="G92" s="7">
        <v>1</v>
      </c>
      <c r="H92" s="7">
        <f t="shared" si="11"/>
        <v>2</v>
      </c>
      <c r="I92" s="7">
        <v>1.6</v>
      </c>
      <c r="J92" s="7">
        <v>2.1</v>
      </c>
      <c r="K92" s="27">
        <v>0.19</v>
      </c>
      <c r="L92" s="12">
        <f t="shared" si="10"/>
        <v>0.68400000000000016</v>
      </c>
    </row>
    <row r="93" spans="2:12" x14ac:dyDescent="0.25">
      <c r="B93" s="21" t="s">
        <v>94</v>
      </c>
      <c r="C93" s="19" t="s">
        <v>95</v>
      </c>
      <c r="D93" s="19" t="s">
        <v>118</v>
      </c>
      <c r="E93" s="30" t="s">
        <v>105</v>
      </c>
      <c r="F93" s="7">
        <v>2</v>
      </c>
      <c r="G93" s="7">
        <v>11</v>
      </c>
      <c r="H93" s="7">
        <f t="shared" ref="H93:H94" si="12">G93*F93</f>
        <v>22</v>
      </c>
      <c r="I93" s="7">
        <v>1.2</v>
      </c>
      <c r="J93" s="7">
        <v>2.1</v>
      </c>
      <c r="K93" s="27">
        <v>0.19</v>
      </c>
      <c r="L93" s="12">
        <f t="shared" si="10"/>
        <v>5.8520000000000003</v>
      </c>
    </row>
    <row r="94" spans="2:12" x14ac:dyDescent="0.25">
      <c r="B94" s="21" t="s">
        <v>94</v>
      </c>
      <c r="C94" s="19" t="s">
        <v>95</v>
      </c>
      <c r="D94" s="19" t="s">
        <v>76</v>
      </c>
      <c r="E94" s="30" t="s">
        <v>107</v>
      </c>
      <c r="F94" s="7">
        <v>1</v>
      </c>
      <c r="G94" s="7">
        <v>11</v>
      </c>
      <c r="H94" s="7">
        <f t="shared" si="12"/>
        <v>11</v>
      </c>
      <c r="I94" s="7">
        <v>1.3</v>
      </c>
      <c r="J94" s="7">
        <v>1.4</v>
      </c>
      <c r="K94" s="27">
        <v>0.19</v>
      </c>
      <c r="L94" s="12">
        <f t="shared" si="10"/>
        <v>3.1350000000000002</v>
      </c>
    </row>
    <row r="95" spans="2:12" x14ac:dyDescent="0.25">
      <c r="B95" s="21" t="s">
        <v>94</v>
      </c>
      <c r="C95" s="19" t="s">
        <v>95</v>
      </c>
      <c r="D95" s="19" t="s">
        <v>63</v>
      </c>
      <c r="E95" s="30" t="s">
        <v>105</v>
      </c>
      <c r="F95" s="7">
        <v>1</v>
      </c>
      <c r="G95" s="7">
        <v>11</v>
      </c>
      <c r="H95" s="7">
        <v>22</v>
      </c>
      <c r="I95" s="7">
        <v>0.96</v>
      </c>
      <c r="J95" s="7">
        <v>2.13</v>
      </c>
      <c r="K95" s="27">
        <v>0.19</v>
      </c>
      <c r="L95" s="12">
        <f t="shared" si="10"/>
        <v>4.8488000000000007</v>
      </c>
    </row>
    <row r="96" spans="2:12" x14ac:dyDescent="0.25">
      <c r="B96" s="21" t="s">
        <v>94</v>
      </c>
      <c r="C96" s="19" t="s">
        <v>95</v>
      </c>
      <c r="D96" s="19" t="s">
        <v>87</v>
      </c>
      <c r="E96" s="30" t="s">
        <v>105</v>
      </c>
      <c r="F96" s="7">
        <v>5</v>
      </c>
      <c r="G96" s="7">
        <v>11</v>
      </c>
      <c r="H96" s="7">
        <v>55</v>
      </c>
      <c r="I96" s="7">
        <v>1.86</v>
      </c>
      <c r="J96" s="7">
        <v>2.5</v>
      </c>
      <c r="K96" s="27">
        <v>0.19</v>
      </c>
      <c r="L96" s="12">
        <f t="shared" si="10"/>
        <v>21.527000000000005</v>
      </c>
    </row>
    <row r="97" spans="2:12" x14ac:dyDescent="0.25">
      <c r="B97" s="21" t="s">
        <v>94</v>
      </c>
      <c r="C97" s="19" t="s">
        <v>95</v>
      </c>
      <c r="D97" s="19" t="s">
        <v>61</v>
      </c>
      <c r="E97" s="30" t="s">
        <v>105</v>
      </c>
      <c r="F97" s="7">
        <v>2</v>
      </c>
      <c r="G97" s="7">
        <v>11</v>
      </c>
      <c r="H97" s="7">
        <v>22</v>
      </c>
      <c r="I97" s="7">
        <v>1.6</v>
      </c>
      <c r="J97" s="7">
        <v>2.1</v>
      </c>
      <c r="K97" s="27">
        <v>0.19</v>
      </c>
      <c r="L97" s="12">
        <f t="shared" si="10"/>
        <v>7.5240000000000018</v>
      </c>
    </row>
    <row r="98" spans="2:12" x14ac:dyDescent="0.25">
      <c r="B98" s="21" t="s">
        <v>97</v>
      </c>
      <c r="C98" s="19" t="s">
        <v>95</v>
      </c>
      <c r="D98" s="20" t="s">
        <v>71</v>
      </c>
      <c r="E98" s="30" t="s">
        <v>105</v>
      </c>
      <c r="F98" s="7">
        <v>2</v>
      </c>
      <c r="G98" s="7">
        <v>1</v>
      </c>
      <c r="H98" s="7">
        <f t="shared" si="11"/>
        <v>2</v>
      </c>
      <c r="I98" s="7">
        <v>0.5</v>
      </c>
      <c r="J98" s="7">
        <v>2.2000000000000002</v>
      </c>
      <c r="K98" s="27">
        <v>0.19</v>
      </c>
      <c r="L98" s="12">
        <f t="shared" si="10"/>
        <v>0.26600000000000001</v>
      </c>
    </row>
    <row r="99" spans="2:12" x14ac:dyDescent="0.25">
      <c r="B99" s="21" t="s">
        <v>97</v>
      </c>
      <c r="C99" s="19" t="s">
        <v>95</v>
      </c>
      <c r="D99" s="19" t="s">
        <v>103</v>
      </c>
      <c r="E99" s="30" t="s">
        <v>107</v>
      </c>
      <c r="F99" s="7">
        <v>2</v>
      </c>
      <c r="G99" s="7">
        <v>1</v>
      </c>
      <c r="H99" s="7">
        <f t="shared" si="11"/>
        <v>2</v>
      </c>
      <c r="I99" s="7">
        <v>0.1</v>
      </c>
      <c r="J99" s="7">
        <v>0.1</v>
      </c>
      <c r="K99" s="27">
        <v>0.19</v>
      </c>
      <c r="L99" s="12">
        <f t="shared" si="10"/>
        <v>0.11400000000000002</v>
      </c>
    </row>
    <row r="100" spans="2:12" x14ac:dyDescent="0.25">
      <c r="B100" s="21" t="s">
        <v>97</v>
      </c>
      <c r="C100" s="19" t="s">
        <v>95</v>
      </c>
      <c r="D100" s="19" t="s">
        <v>98</v>
      </c>
      <c r="E100" s="30" t="s">
        <v>107</v>
      </c>
      <c r="F100" s="7">
        <v>3</v>
      </c>
      <c r="G100" s="7">
        <v>1</v>
      </c>
      <c r="H100" s="7">
        <f t="shared" si="11"/>
        <v>3</v>
      </c>
      <c r="I100" s="7">
        <v>0.25</v>
      </c>
      <c r="J100" s="7">
        <v>0.25</v>
      </c>
      <c r="K100" s="27">
        <v>0.19</v>
      </c>
      <c r="L100" s="12">
        <f t="shared" si="10"/>
        <v>0.25650000000000001</v>
      </c>
    </row>
    <row r="101" spans="2:12" x14ac:dyDescent="0.25">
      <c r="B101" s="21" t="s">
        <v>101</v>
      </c>
      <c r="C101" s="19" t="s">
        <v>102</v>
      </c>
      <c r="D101" s="20" t="s">
        <v>79</v>
      </c>
      <c r="E101" s="30" t="s">
        <v>104</v>
      </c>
      <c r="F101" s="32">
        <v>5</v>
      </c>
      <c r="G101" s="7">
        <v>14</v>
      </c>
      <c r="H101" s="7">
        <f t="shared" si="11"/>
        <v>70</v>
      </c>
      <c r="I101" s="34">
        <f>VLOOKUP(D101,'[1]RESUMO ESQ. '!$E$6:$L$71,5,FALSE)</f>
        <v>0.5</v>
      </c>
      <c r="J101" s="34">
        <f>VLOOKUP(D101,'[1]RESUMO ESQ. '!$E$6:$L$71,6,FALSE)</f>
        <v>0.73</v>
      </c>
      <c r="K101" s="27">
        <v>0.19</v>
      </c>
      <c r="L101" s="12">
        <f t="shared" si="10"/>
        <v>9.31</v>
      </c>
    </row>
    <row r="102" spans="2:12" x14ac:dyDescent="0.25">
      <c r="B102" s="21" t="s">
        <v>101</v>
      </c>
      <c r="C102" s="19" t="s">
        <v>102</v>
      </c>
      <c r="D102" s="20" t="s">
        <v>80</v>
      </c>
      <c r="E102" s="30" t="s">
        <v>104</v>
      </c>
      <c r="F102" s="32">
        <v>9</v>
      </c>
      <c r="G102" s="7">
        <v>14</v>
      </c>
      <c r="H102" s="7">
        <f t="shared" si="11"/>
        <v>126</v>
      </c>
      <c r="I102" s="34">
        <f>VLOOKUP(D102,'[1]RESUMO ESQ. '!$E$6:$L$71,5,FALSE)</f>
        <v>1.2</v>
      </c>
      <c r="J102" s="34">
        <f>VLOOKUP(D102,'[1]RESUMO ESQ. '!$E$6:$L$71,6,FALSE)</f>
        <v>1</v>
      </c>
      <c r="K102" s="27">
        <v>0.19</v>
      </c>
      <c r="L102" s="12">
        <f t="shared" si="10"/>
        <v>33.516000000000005</v>
      </c>
    </row>
    <row r="103" spans="2:12" x14ac:dyDescent="0.25">
      <c r="B103" s="21" t="s">
        <v>101</v>
      </c>
      <c r="C103" s="19" t="s">
        <v>102</v>
      </c>
      <c r="D103" s="20" t="s">
        <v>81</v>
      </c>
      <c r="E103" s="30" t="s">
        <v>104</v>
      </c>
      <c r="F103" s="32">
        <v>21</v>
      </c>
      <c r="G103" s="7">
        <v>14</v>
      </c>
      <c r="H103" s="7">
        <f t="shared" si="11"/>
        <v>294</v>
      </c>
      <c r="I103" s="34">
        <f>VLOOKUP(D103,'[1]RESUMO ESQ. '!$E$6:$L$71,5,FALSE)</f>
        <v>1.4</v>
      </c>
      <c r="J103" s="34">
        <f>VLOOKUP(D103,'[1]RESUMO ESQ. '!$E$6:$L$71,6,FALSE)</f>
        <v>1</v>
      </c>
      <c r="K103" s="27">
        <v>0.19</v>
      </c>
      <c r="L103" s="12">
        <f t="shared" si="10"/>
        <v>89.375999999999976</v>
      </c>
    </row>
    <row r="104" spans="2:12" x14ac:dyDescent="0.25">
      <c r="B104" s="21" t="s">
        <v>101</v>
      </c>
      <c r="C104" s="19" t="s">
        <v>102</v>
      </c>
      <c r="D104" s="20" t="s">
        <v>118</v>
      </c>
      <c r="E104" s="30" t="s">
        <v>104</v>
      </c>
      <c r="F104" s="33">
        <v>1</v>
      </c>
      <c r="G104" s="7">
        <v>14</v>
      </c>
      <c r="H104" s="7">
        <f t="shared" si="11"/>
        <v>14</v>
      </c>
      <c r="I104" s="34">
        <f>VLOOKUP(D104,'[1]RESUMO ESQ. '!$E$6:$L$71,5,FALSE)</f>
        <v>1.2</v>
      </c>
      <c r="J104" s="34">
        <f>VLOOKUP(D104,'[1]RESUMO ESQ. '!$E$6:$L$71,6,FALSE)</f>
        <v>2.1</v>
      </c>
      <c r="K104" s="27">
        <v>0.19</v>
      </c>
      <c r="L104" s="12">
        <f t="shared" si="10"/>
        <v>3.7240000000000002</v>
      </c>
    </row>
    <row r="105" spans="2:12" x14ac:dyDescent="0.25">
      <c r="B105" s="21" t="s">
        <v>97</v>
      </c>
      <c r="C105" s="19" t="s">
        <v>102</v>
      </c>
      <c r="D105" s="19" t="s">
        <v>72</v>
      </c>
      <c r="E105" s="30" t="s">
        <v>107</v>
      </c>
      <c r="F105" s="33">
        <v>2</v>
      </c>
      <c r="G105" s="7">
        <v>1</v>
      </c>
      <c r="H105" s="7">
        <f t="shared" ref="H105" si="13">G105*F105</f>
        <v>2</v>
      </c>
      <c r="I105" s="34">
        <f>VLOOKUP(D105,'[1]RESUMO ESQ. '!$E$6:$L$71,5,FALSE)</f>
        <v>0.7</v>
      </c>
      <c r="J105" s="34">
        <f>VLOOKUP(D105,'[1]RESUMO ESQ. '!$E$6:$L$71,6,FALSE)</f>
        <v>0.9</v>
      </c>
      <c r="K105" s="27">
        <v>0.19</v>
      </c>
      <c r="L105" s="12">
        <f t="shared" si="10"/>
        <v>0.34199999999999997</v>
      </c>
    </row>
    <row r="106" spans="2:12" x14ac:dyDescent="0.25">
      <c r="B106" s="21" t="s">
        <v>101</v>
      </c>
      <c r="C106" s="19" t="s">
        <v>102</v>
      </c>
      <c r="D106" s="19" t="s">
        <v>76</v>
      </c>
      <c r="E106" s="30" t="s">
        <v>107</v>
      </c>
      <c r="F106" s="33">
        <v>1</v>
      </c>
      <c r="G106" s="7">
        <v>14</v>
      </c>
      <c r="H106" s="7">
        <f t="shared" si="11"/>
        <v>14</v>
      </c>
      <c r="I106" s="34">
        <f>VLOOKUP(D106,'[1]RESUMO ESQ. '!$E$6:$L$71,5,FALSE)</f>
        <v>1.3</v>
      </c>
      <c r="J106" s="34">
        <f>VLOOKUP(D106,'[1]RESUMO ESQ. '!$E$6:$L$71,6,FALSE)</f>
        <v>1.4</v>
      </c>
      <c r="K106" s="27">
        <v>0.19</v>
      </c>
      <c r="L106" s="12">
        <f t="shared" si="10"/>
        <v>3.99</v>
      </c>
    </row>
    <row r="107" spans="2:12" x14ac:dyDescent="0.25">
      <c r="B107" s="21" t="s">
        <v>101</v>
      </c>
      <c r="C107" s="19" t="s">
        <v>102</v>
      </c>
      <c r="D107" s="20" t="s">
        <v>63</v>
      </c>
      <c r="E107" s="30" t="s">
        <v>105</v>
      </c>
      <c r="F107" s="33">
        <v>1</v>
      </c>
      <c r="G107" s="7">
        <v>14</v>
      </c>
      <c r="H107" s="7">
        <f t="shared" si="11"/>
        <v>14</v>
      </c>
      <c r="I107" s="34">
        <f>VLOOKUP(D107,'[1]RESUMO ESQ. '!$E$6:$L$71,5,FALSE)</f>
        <v>0.96</v>
      </c>
      <c r="J107" s="34">
        <f>VLOOKUP(D107,'[1]RESUMO ESQ. '!$E$6:$L$71,6,FALSE)</f>
        <v>2.13</v>
      </c>
      <c r="K107" s="27">
        <v>0.19</v>
      </c>
      <c r="L107" s="12">
        <f t="shared" si="10"/>
        <v>3.0856000000000003</v>
      </c>
    </row>
    <row r="108" spans="2:12" x14ac:dyDescent="0.25">
      <c r="B108" s="21" t="s">
        <v>101</v>
      </c>
      <c r="C108" s="19" t="s">
        <v>102</v>
      </c>
      <c r="D108" s="20" t="s">
        <v>87</v>
      </c>
      <c r="E108" s="30" t="s">
        <v>105</v>
      </c>
      <c r="F108" s="33">
        <v>6</v>
      </c>
      <c r="G108" s="7">
        <v>14</v>
      </c>
      <c r="H108" s="7">
        <f t="shared" si="11"/>
        <v>84</v>
      </c>
      <c r="I108" s="34">
        <f>VLOOKUP(D108,'[1]RESUMO ESQ. '!$E$6:$L$71,5,FALSE)</f>
        <v>1.86</v>
      </c>
      <c r="J108" s="34">
        <f>VLOOKUP(D108,'[1]RESUMO ESQ. '!$E$6:$L$71,6,FALSE)</f>
        <v>2.5</v>
      </c>
      <c r="K108" s="27">
        <v>0.19</v>
      </c>
      <c r="L108" s="12">
        <f t="shared" si="10"/>
        <v>32.877600000000008</v>
      </c>
    </row>
    <row r="109" spans="2:12" x14ac:dyDescent="0.25">
      <c r="B109" s="21" t="s">
        <v>101</v>
      </c>
      <c r="C109" s="19" t="s">
        <v>102</v>
      </c>
      <c r="D109" s="20" t="s">
        <v>61</v>
      </c>
      <c r="E109" s="30" t="s">
        <v>105</v>
      </c>
      <c r="F109" s="33">
        <v>3</v>
      </c>
      <c r="G109" s="7">
        <v>14</v>
      </c>
      <c r="H109" s="7">
        <f t="shared" si="11"/>
        <v>42</v>
      </c>
      <c r="I109" s="34">
        <f>VLOOKUP(D109,'[1]RESUMO ESQ. '!$E$6:$L$71,5,FALSE)</f>
        <v>1.6</v>
      </c>
      <c r="J109" s="34">
        <f>VLOOKUP(D109,'[1]RESUMO ESQ. '!$E$6:$L$71,6,FALSE)</f>
        <v>2.1</v>
      </c>
      <c r="K109" s="27">
        <v>0.19</v>
      </c>
      <c r="L109" s="12">
        <f t="shared" si="10"/>
        <v>14.364000000000004</v>
      </c>
    </row>
    <row r="110" spans="2:12" x14ac:dyDescent="0.25">
      <c r="B110" s="21" t="s">
        <v>97</v>
      </c>
      <c r="C110" s="19" t="s">
        <v>102</v>
      </c>
      <c r="D110" s="20" t="s">
        <v>98</v>
      </c>
      <c r="E110" s="30" t="s">
        <v>107</v>
      </c>
      <c r="F110" s="7">
        <v>2</v>
      </c>
      <c r="G110" s="7">
        <v>1</v>
      </c>
      <c r="H110" s="7">
        <f t="shared" si="11"/>
        <v>2</v>
      </c>
      <c r="I110" s="7">
        <v>0.25</v>
      </c>
      <c r="J110" s="7">
        <v>0.25</v>
      </c>
      <c r="K110" s="27">
        <v>0.19</v>
      </c>
      <c r="L110" s="12">
        <f t="shared" ref="L110:L133" si="14">((I110*K110)+(2*0.1*K110))*H110</f>
        <v>0.17100000000000001</v>
      </c>
    </row>
    <row r="111" spans="2:12" x14ac:dyDescent="0.25">
      <c r="B111" s="21" t="s">
        <v>97</v>
      </c>
      <c r="C111" s="19" t="s">
        <v>102</v>
      </c>
      <c r="D111" s="20" t="s">
        <v>103</v>
      </c>
      <c r="E111" s="30" t="s">
        <v>105</v>
      </c>
      <c r="F111" s="7">
        <v>2</v>
      </c>
      <c r="G111" s="7">
        <v>1</v>
      </c>
      <c r="H111" s="7">
        <f t="shared" si="11"/>
        <v>2</v>
      </c>
      <c r="I111" s="7">
        <v>0.1</v>
      </c>
      <c r="J111" s="7">
        <v>0.1</v>
      </c>
      <c r="K111" s="27">
        <v>0.19</v>
      </c>
      <c r="L111" s="12">
        <f t="shared" si="14"/>
        <v>0.11400000000000002</v>
      </c>
    </row>
    <row r="112" spans="2:12" x14ac:dyDescent="0.25">
      <c r="B112" s="21" t="s">
        <v>97</v>
      </c>
      <c r="C112" s="19" t="s">
        <v>102</v>
      </c>
      <c r="D112" s="20" t="s">
        <v>100</v>
      </c>
      <c r="E112" s="30" t="s">
        <v>105</v>
      </c>
      <c r="F112" s="7">
        <v>1</v>
      </c>
      <c r="G112" s="7">
        <v>1</v>
      </c>
      <c r="H112" s="7">
        <f t="shared" si="11"/>
        <v>1</v>
      </c>
      <c r="I112" s="7">
        <v>0.9</v>
      </c>
      <c r="J112" s="7">
        <v>2.1</v>
      </c>
      <c r="K112" s="27">
        <v>0.19</v>
      </c>
      <c r="L112" s="12">
        <f t="shared" si="14"/>
        <v>0.20900000000000002</v>
      </c>
    </row>
    <row r="113" spans="2:12" x14ac:dyDescent="0.25">
      <c r="B113" s="7"/>
      <c r="C113" s="7"/>
      <c r="D113" s="7"/>
      <c r="E113" s="30"/>
      <c r="F113" s="7"/>
      <c r="G113" s="7"/>
      <c r="H113" s="7"/>
      <c r="I113" s="7"/>
      <c r="J113" s="7"/>
      <c r="K113" s="27"/>
      <c r="L113" s="12">
        <f t="shared" si="14"/>
        <v>0</v>
      </c>
    </row>
    <row r="114" spans="2:12" x14ac:dyDescent="0.25">
      <c r="B114" s="7"/>
      <c r="C114" s="7"/>
      <c r="D114" s="7"/>
      <c r="E114" s="30"/>
      <c r="F114" s="7"/>
      <c r="G114" s="7"/>
      <c r="H114" s="7"/>
      <c r="I114" s="7"/>
      <c r="J114" s="7"/>
      <c r="K114" s="27"/>
      <c r="L114" s="12">
        <f t="shared" si="14"/>
        <v>0</v>
      </c>
    </row>
    <row r="115" spans="2:12" x14ac:dyDescent="0.25">
      <c r="B115" s="7"/>
      <c r="C115" s="7"/>
      <c r="D115" s="7"/>
      <c r="E115" s="30"/>
      <c r="F115" s="7"/>
      <c r="G115" s="7"/>
      <c r="H115" s="7"/>
      <c r="I115" s="7"/>
      <c r="J115" s="7"/>
      <c r="K115" s="27"/>
      <c r="L115" s="12">
        <f t="shared" si="14"/>
        <v>0</v>
      </c>
    </row>
    <row r="116" spans="2:12" x14ac:dyDescent="0.25">
      <c r="B116" s="7"/>
      <c r="C116" s="7"/>
      <c r="D116" s="7"/>
      <c r="E116" s="30"/>
      <c r="F116" s="7"/>
      <c r="G116" s="7"/>
      <c r="H116" s="7"/>
      <c r="I116" s="7"/>
      <c r="J116" s="7"/>
      <c r="K116" s="27"/>
      <c r="L116" s="12">
        <f t="shared" si="14"/>
        <v>0</v>
      </c>
    </row>
    <row r="117" spans="2:12" x14ac:dyDescent="0.25">
      <c r="B117" s="7"/>
      <c r="C117" s="7"/>
      <c r="D117" s="7"/>
      <c r="E117" s="30"/>
      <c r="F117" s="7"/>
      <c r="G117" s="7"/>
      <c r="H117" s="7"/>
      <c r="I117" s="7"/>
      <c r="J117" s="7"/>
      <c r="K117" s="27"/>
      <c r="L117" s="12">
        <f t="shared" si="14"/>
        <v>0</v>
      </c>
    </row>
    <row r="118" spans="2:12" x14ac:dyDescent="0.25">
      <c r="B118" s="7"/>
      <c r="C118" s="7"/>
      <c r="D118" s="7"/>
      <c r="E118" s="30"/>
      <c r="F118" s="7"/>
      <c r="G118" s="7"/>
      <c r="H118" s="7"/>
      <c r="I118" s="7"/>
      <c r="J118" s="7"/>
      <c r="K118" s="27"/>
      <c r="L118" s="12">
        <f t="shared" si="14"/>
        <v>0</v>
      </c>
    </row>
    <row r="119" spans="2:12" x14ac:dyDescent="0.25">
      <c r="B119" s="7"/>
      <c r="C119" s="7"/>
      <c r="D119" s="7"/>
      <c r="E119" s="30"/>
      <c r="F119" s="7"/>
      <c r="G119" s="7"/>
      <c r="H119" s="7"/>
      <c r="I119" s="7"/>
      <c r="J119" s="7"/>
      <c r="K119" s="27"/>
      <c r="L119" s="12">
        <f t="shared" si="14"/>
        <v>0</v>
      </c>
    </row>
    <row r="120" spans="2:12" x14ac:dyDescent="0.25">
      <c r="B120" s="7"/>
      <c r="C120" s="7"/>
      <c r="D120" s="7"/>
      <c r="E120" s="30"/>
      <c r="F120" s="7"/>
      <c r="G120" s="7"/>
      <c r="H120" s="7"/>
      <c r="I120" s="7"/>
      <c r="J120" s="7"/>
      <c r="K120" s="27"/>
      <c r="L120" s="12">
        <f t="shared" si="14"/>
        <v>0</v>
      </c>
    </row>
    <row r="121" spans="2:12" x14ac:dyDescent="0.25">
      <c r="B121" s="7"/>
      <c r="C121" s="7"/>
      <c r="D121" s="7"/>
      <c r="E121" s="30"/>
      <c r="F121" s="7"/>
      <c r="G121" s="7"/>
      <c r="H121" s="7"/>
      <c r="I121" s="7"/>
      <c r="J121" s="7"/>
      <c r="K121" s="27"/>
      <c r="L121" s="12">
        <f t="shared" si="14"/>
        <v>0</v>
      </c>
    </row>
    <row r="122" spans="2:12" x14ac:dyDescent="0.25">
      <c r="B122" s="7"/>
      <c r="C122" s="7"/>
      <c r="D122" s="7"/>
      <c r="E122" s="30"/>
      <c r="F122" s="7"/>
      <c r="G122" s="7"/>
      <c r="H122" s="7"/>
      <c r="I122" s="7"/>
      <c r="J122" s="7"/>
      <c r="K122" s="27"/>
      <c r="L122" s="12">
        <f t="shared" si="14"/>
        <v>0</v>
      </c>
    </row>
    <row r="123" spans="2:12" x14ac:dyDescent="0.25">
      <c r="B123" s="7"/>
      <c r="C123" s="7"/>
      <c r="D123" s="7"/>
      <c r="E123" s="30"/>
      <c r="F123" s="7"/>
      <c r="G123" s="7"/>
      <c r="H123" s="7"/>
      <c r="I123" s="7"/>
      <c r="J123" s="7"/>
      <c r="K123" s="27"/>
      <c r="L123" s="12">
        <f t="shared" si="14"/>
        <v>0</v>
      </c>
    </row>
    <row r="124" spans="2:12" x14ac:dyDescent="0.25">
      <c r="B124" s="7"/>
      <c r="C124" s="7"/>
      <c r="D124" s="7"/>
      <c r="E124" s="30"/>
      <c r="F124" s="7"/>
      <c r="G124" s="7"/>
      <c r="H124" s="7"/>
      <c r="I124" s="7"/>
      <c r="J124" s="7"/>
      <c r="K124" s="27"/>
      <c r="L124" s="12">
        <f t="shared" si="14"/>
        <v>0</v>
      </c>
    </row>
    <row r="125" spans="2:12" x14ac:dyDescent="0.25">
      <c r="B125" s="7"/>
      <c r="C125" s="7"/>
      <c r="D125" s="7"/>
      <c r="E125" s="30"/>
      <c r="F125" s="7"/>
      <c r="G125" s="7"/>
      <c r="H125" s="7"/>
      <c r="I125" s="7"/>
      <c r="J125" s="7"/>
      <c r="K125" s="27"/>
      <c r="L125" s="12">
        <f t="shared" si="14"/>
        <v>0</v>
      </c>
    </row>
    <row r="126" spans="2:12" x14ac:dyDescent="0.25">
      <c r="B126" s="7"/>
      <c r="C126" s="7"/>
      <c r="D126" s="7"/>
      <c r="E126" s="30"/>
      <c r="F126" s="7"/>
      <c r="G126" s="7"/>
      <c r="H126" s="7"/>
      <c r="I126" s="7"/>
      <c r="J126" s="7"/>
      <c r="K126" s="27"/>
      <c r="L126" s="12">
        <f t="shared" si="14"/>
        <v>0</v>
      </c>
    </row>
    <row r="127" spans="2:12" x14ac:dyDescent="0.25">
      <c r="B127" s="7"/>
      <c r="C127" s="7"/>
      <c r="D127" s="7"/>
      <c r="E127" s="30"/>
      <c r="F127" s="7"/>
      <c r="G127" s="7"/>
      <c r="H127" s="7"/>
      <c r="I127" s="7"/>
      <c r="J127" s="7"/>
      <c r="K127" s="27"/>
      <c r="L127" s="12">
        <f t="shared" si="14"/>
        <v>0</v>
      </c>
    </row>
    <row r="128" spans="2:12" x14ac:dyDescent="0.25">
      <c r="B128" s="7"/>
      <c r="C128" s="7"/>
      <c r="D128" s="7"/>
      <c r="E128" s="30"/>
      <c r="F128" s="7"/>
      <c r="G128" s="7"/>
      <c r="H128" s="7"/>
      <c r="I128" s="7"/>
      <c r="J128" s="7"/>
      <c r="K128" s="27"/>
      <c r="L128" s="12">
        <f t="shared" si="14"/>
        <v>0</v>
      </c>
    </row>
    <row r="129" spans="2:12" x14ac:dyDescent="0.25">
      <c r="B129" s="7"/>
      <c r="C129" s="7"/>
      <c r="D129" s="7"/>
      <c r="E129" s="30"/>
      <c r="F129" s="7"/>
      <c r="G129" s="7"/>
      <c r="H129" s="7"/>
      <c r="I129" s="7"/>
      <c r="J129" s="7"/>
      <c r="K129" s="27"/>
      <c r="L129" s="12">
        <f t="shared" si="14"/>
        <v>0</v>
      </c>
    </row>
    <row r="130" spans="2:12" x14ac:dyDescent="0.25">
      <c r="B130" s="7"/>
      <c r="C130" s="7"/>
      <c r="D130" s="7"/>
      <c r="E130" s="30"/>
      <c r="F130" s="7"/>
      <c r="G130" s="7"/>
      <c r="H130" s="7"/>
      <c r="I130" s="7"/>
      <c r="J130" s="7"/>
      <c r="K130" s="27"/>
      <c r="L130" s="12">
        <f t="shared" si="14"/>
        <v>0</v>
      </c>
    </row>
    <row r="131" spans="2:12" x14ac:dyDescent="0.25">
      <c r="B131" s="7"/>
      <c r="C131" s="7"/>
      <c r="D131" s="7"/>
      <c r="E131" s="30"/>
      <c r="F131" s="7"/>
      <c r="G131" s="7"/>
      <c r="H131" s="7"/>
      <c r="I131" s="7"/>
      <c r="J131" s="7"/>
      <c r="K131" s="27"/>
      <c r="L131" s="12">
        <f t="shared" si="14"/>
        <v>0</v>
      </c>
    </row>
    <row r="132" spans="2:12" x14ac:dyDescent="0.25">
      <c r="B132" s="7"/>
      <c r="C132" s="7"/>
      <c r="D132" s="7"/>
      <c r="E132" s="30"/>
      <c r="F132" s="7"/>
      <c r="G132" s="7"/>
      <c r="H132" s="7"/>
      <c r="I132" s="7"/>
      <c r="J132" s="7"/>
      <c r="K132" s="27"/>
      <c r="L132" s="12">
        <f t="shared" si="14"/>
        <v>0</v>
      </c>
    </row>
    <row r="133" spans="2:12" x14ac:dyDescent="0.25">
      <c r="B133" s="7"/>
      <c r="C133" s="7"/>
      <c r="D133" s="7"/>
      <c r="E133" s="30"/>
      <c r="F133" s="7"/>
      <c r="G133" s="7"/>
      <c r="H133" s="7"/>
      <c r="I133" s="7"/>
      <c r="J133" s="7"/>
      <c r="K133" s="27"/>
      <c r="L133" s="12">
        <f t="shared" si="14"/>
        <v>0</v>
      </c>
    </row>
    <row r="134" spans="2:12" x14ac:dyDescent="0.25">
      <c r="B134" s="11" t="s">
        <v>30</v>
      </c>
      <c r="C134" s="11"/>
      <c r="D134" s="11"/>
      <c r="E134" s="31"/>
      <c r="F134" s="11"/>
      <c r="G134" s="11"/>
      <c r="H134" s="11"/>
      <c r="I134" s="11"/>
      <c r="J134" s="11"/>
      <c r="K134" s="28"/>
      <c r="L134" s="11">
        <f>SUBTOTAL(9,L5:L133)</f>
        <v>329.92299999999994</v>
      </c>
    </row>
  </sheetData>
  <autoFilter ref="B4:L133" xr:uid="{D6856DE9-12A2-4393-8B17-1863FCA006F0}"/>
  <mergeCells count="1">
    <mergeCell ref="B3:L3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e307518-76fe-4ad0-97f4-f43ad9333a46">
      <Terms xmlns="http://schemas.microsoft.com/office/infopath/2007/PartnerControls"/>
    </lcf76f155ced4ddcb4097134ff3c332f>
    <TaxCatchAll xmlns="53ed9526-e9b8-417b-aaeb-1b46cb45af1a" xsi:nil="true"/>
    <bdkk xmlns="ce307518-76fe-4ad0-97f4-f43ad9333a46">
      <UserInfo>
        <DisplayName/>
        <AccountId xsi:nil="true"/>
        <AccountType/>
      </UserInfo>
    </bdkk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6E6592EFBC3441B3E998BB901661AD" ma:contentTypeVersion="20" ma:contentTypeDescription="Create a new document." ma:contentTypeScope="" ma:versionID="d00d5aa63c54b18f9d1394570334fdb6">
  <xsd:schema xmlns:xsd="http://www.w3.org/2001/XMLSchema" xmlns:xs="http://www.w3.org/2001/XMLSchema" xmlns:p="http://schemas.microsoft.com/office/2006/metadata/properties" xmlns:ns2="ce307518-76fe-4ad0-97f4-f43ad9333a46" xmlns:ns3="53ed9526-e9b8-417b-aaeb-1b46cb45af1a" targetNamespace="http://schemas.microsoft.com/office/2006/metadata/properties" ma:root="true" ma:fieldsID="9106d2bee4612895e8521aa5556ed5f7" ns2:_="" ns3:_="">
    <xsd:import namespace="ce307518-76fe-4ad0-97f4-f43ad9333a46"/>
    <xsd:import namespace="53ed9526-e9b8-417b-aaeb-1b46cb45af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bdkk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07518-76fe-4ad0-97f4-f43ad9333a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bdkk" ma:index="18" nillable="true" ma:displayName="Pessoa ou Grupo" ma:list="UserInfo" ma:internalName="bdkk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7c25f8d-64ac-4145-9903-07f36fd6ca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ed9526-e9b8-417b-aaeb-1b46cb45af1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c0c5d679-909d-481c-a99e-efb914c622fd}" ma:internalName="TaxCatchAll" ma:showField="CatchAllData" ma:web="53ed9526-e9b8-417b-aaeb-1b46cb45af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032B76-3614-425B-86D4-DDAD385A9669}">
  <ds:schemaRefs>
    <ds:schemaRef ds:uri="53ed9526-e9b8-417b-aaeb-1b46cb45af1a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ce307518-76fe-4ad0-97f4-f43ad9333a46"/>
    <ds:schemaRef ds:uri="http://schemas.microsoft.com/office/2006/metadata/properties"/>
    <ds:schemaRef ds:uri="ece85780-1c41-45ae-9a82-a507f3399dc9"/>
    <ds:schemaRef ds:uri="b7ea07b4-0b7f-4061-9500-4375ec20ba5f"/>
  </ds:schemaRefs>
</ds:datastoreItem>
</file>

<file path=customXml/itemProps2.xml><?xml version="1.0" encoding="utf-8"?>
<ds:datastoreItem xmlns:ds="http://schemas.openxmlformats.org/officeDocument/2006/customXml" ds:itemID="{AFFF87A3-2405-4C25-B1AF-F1C8CE8896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307518-76fe-4ad0-97f4-f43ad9333a46"/>
    <ds:schemaRef ds:uri="53ed9526-e9b8-417b-aaeb-1b46cb45af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80D8B1-546E-457F-A579-A2CC9C4C156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IMPERMEABILIZAÇÃO</vt:lpstr>
      <vt:lpstr>IMPER JANELAS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Lopes Granjeiro Xavier</dc:creator>
  <cp:lastModifiedBy>Diogo Hach deOliveira Honda</cp:lastModifiedBy>
  <dcterms:created xsi:type="dcterms:W3CDTF">2023-12-14T11:51:52Z</dcterms:created>
  <dcterms:modified xsi:type="dcterms:W3CDTF">2026-04-04T20:48:52Z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0x010100CF6E6592EFBC3441B3E998BB901661AD</vt:lpwstr>
  </property>
  <property fmtid="{D5CDD505-2E9C-101B-9397-08002B2CF9AE}" pid="3" name="MediaServiceImageTags">
    <vt:lpwstr/>
  </property>
</Properties>
</file>